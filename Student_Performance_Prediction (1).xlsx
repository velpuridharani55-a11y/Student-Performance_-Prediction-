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A0B7DD1-BBDB-44A7-B732-9CC8391AE1F6}" xr6:coauthVersionLast="47" xr6:coauthVersionMax="47" xr10:uidLastSave="{00000000-0000-0000-0000-000000000000}"/>
  <bookViews>
    <workbookView xWindow="-110" yWindow="-110" windowWidth="19420" windowHeight="10300" tabRatio="500" activeTab="3" xr2:uid="{00000000-000D-0000-FFFF-FFFF00000000}"/>
  </bookViews>
  <sheets>
    <sheet name="README" sheetId="1" r:id="rId1"/>
    <sheet name="Student Data" sheetId="2" r:id="rId2"/>
    <sheet name="Pivot Summary" sheetId="3" r:id="rId3"/>
    <sheet name="Dashboard" sheetId="4" r:id="rId4"/>
    <sheet name="Insight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6" i="4" l="1"/>
  <c r="H9" i="4"/>
  <c r="B6" i="4"/>
  <c r="F72" i="3"/>
  <c r="E72" i="3"/>
  <c r="D72" i="3"/>
  <c r="C72" i="3"/>
  <c r="F71" i="3"/>
  <c r="E71" i="3"/>
  <c r="D71" i="3"/>
  <c r="C71" i="3"/>
  <c r="C54" i="3"/>
  <c r="C53" i="3"/>
  <c r="C52" i="3"/>
  <c r="C51" i="3"/>
  <c r="C47" i="3"/>
  <c r="C46" i="3"/>
  <c r="C42" i="3"/>
  <c r="C41" i="3"/>
  <c r="C40" i="3"/>
  <c r="C39" i="3"/>
  <c r="C35" i="3"/>
  <c r="C34" i="3"/>
  <c r="C33" i="3"/>
  <c r="C32" i="3"/>
  <c r="C28" i="3"/>
  <c r="C27" i="3"/>
  <c r="C26" i="3"/>
  <c r="C25" i="3"/>
  <c r="C19" i="3"/>
  <c r="D19" i="3" s="1"/>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M955" i="2"/>
  <c r="J955" i="2"/>
  <c r="L955" i="2" s="1"/>
  <c r="H955" i="2"/>
  <c r="I955" i="2" s="1"/>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J819" i="2"/>
  <c r="L819" i="2" s="1"/>
  <c r="H819" i="2"/>
  <c r="I819" i="2" s="1"/>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J683" i="2"/>
  <c r="L683" i="2" s="1"/>
  <c r="H683" i="2"/>
  <c r="I683" i="2" s="1"/>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J547" i="2"/>
  <c r="L547" i="2" s="1"/>
  <c r="I547"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J411" i="2"/>
  <c r="L411" i="2" s="1"/>
  <c r="I411"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J275" i="2"/>
  <c r="L275" i="2" s="1"/>
  <c r="I275"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J139" i="2"/>
  <c r="I139"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M1002" i="2" l="1"/>
  <c r="J1002" i="2"/>
  <c r="L1002" i="2" s="1"/>
  <c r="I1002" i="2"/>
  <c r="I1001" i="2"/>
  <c r="M1001" i="2"/>
  <c r="J1001" i="2"/>
  <c r="L1001" i="2" s="1"/>
  <c r="M1000" i="2"/>
  <c r="J1000" i="2"/>
  <c r="L1000" i="2" s="1"/>
  <c r="I1000" i="2"/>
  <c r="M999" i="2"/>
  <c r="J999" i="2"/>
  <c r="L999" i="2" s="1"/>
  <c r="I999" i="2"/>
  <c r="M998" i="2"/>
  <c r="J998" i="2"/>
  <c r="L998" i="2" s="1"/>
  <c r="I998" i="2"/>
  <c r="I997" i="2"/>
  <c r="J997" i="2"/>
  <c r="M997" i="2"/>
  <c r="I996" i="2"/>
  <c r="J996" i="2"/>
  <c r="M996" i="2"/>
  <c r="I995" i="2"/>
  <c r="J995" i="2"/>
  <c r="L995" i="2" s="1"/>
  <c r="M995" i="2"/>
  <c r="M994" i="2"/>
  <c r="J994" i="2"/>
  <c r="L994" i="2" s="1"/>
  <c r="I994" i="2"/>
  <c r="I993" i="2"/>
  <c r="J993" i="2"/>
  <c r="L993" i="2" s="1"/>
  <c r="M993" i="2"/>
  <c r="J992" i="2"/>
  <c r="L992" i="2" s="1"/>
  <c r="M992" i="2"/>
  <c r="I992" i="2"/>
  <c r="I991" i="2"/>
  <c r="J991" i="2"/>
  <c r="L991" i="2" s="1"/>
  <c r="M991" i="2"/>
  <c r="J990" i="2"/>
  <c r="M990" i="2"/>
  <c r="I990" i="2"/>
  <c r="J989" i="2"/>
  <c r="L989" i="2" s="1"/>
  <c r="M989" i="2"/>
  <c r="I989" i="2"/>
  <c r="J988" i="2"/>
  <c r="L988" i="2" s="1"/>
  <c r="M988" i="2"/>
  <c r="I988" i="2"/>
  <c r="M987" i="2"/>
  <c r="J987" i="2"/>
  <c r="L987" i="2" s="1"/>
  <c r="I987" i="2"/>
  <c r="I986" i="2"/>
  <c r="M986" i="2"/>
  <c r="J986" i="2"/>
  <c r="L986" i="2" s="1"/>
  <c r="M985" i="2"/>
  <c r="I985" i="2"/>
  <c r="J985" i="2"/>
  <c r="L985" i="2" s="1"/>
  <c r="M984" i="2"/>
  <c r="J984" i="2"/>
  <c r="L984" i="2" s="1"/>
  <c r="I984" i="2"/>
  <c r="I983" i="2"/>
  <c r="J983" i="2"/>
  <c r="L983" i="2" s="1"/>
  <c r="M983" i="2"/>
  <c r="I982" i="2"/>
  <c r="M982" i="2"/>
  <c r="J982" i="2"/>
  <c r="L982" i="2" s="1"/>
  <c r="I981" i="2"/>
  <c r="M981" i="2"/>
  <c r="J981" i="2"/>
  <c r="I980" i="2"/>
  <c r="M980" i="2"/>
  <c r="J980" i="2"/>
  <c r="L980" i="2" s="1"/>
  <c r="I979" i="2"/>
  <c r="M979" i="2"/>
  <c r="J979" i="2"/>
  <c r="L979" i="2" s="1"/>
  <c r="I978" i="2"/>
  <c r="J978" i="2"/>
  <c r="L978" i="2" s="1"/>
  <c r="M978" i="2"/>
  <c r="J977" i="2"/>
  <c r="L977" i="2" s="1"/>
  <c r="M977" i="2"/>
  <c r="I977" i="2"/>
  <c r="I976" i="2"/>
  <c r="J976" i="2"/>
  <c r="L976" i="2" s="1"/>
  <c r="M976" i="2"/>
  <c r="I975" i="2"/>
  <c r="M975" i="2"/>
  <c r="J975" i="2"/>
  <c r="I974" i="2"/>
  <c r="J974" i="2"/>
  <c r="M974" i="2"/>
  <c r="J973" i="2"/>
  <c r="L973" i="2" s="1"/>
  <c r="M973" i="2"/>
  <c r="I973" i="2"/>
  <c r="J972" i="2"/>
  <c r="L972" i="2" s="1"/>
  <c r="M972" i="2"/>
  <c r="I972" i="2"/>
  <c r="J971" i="2"/>
  <c r="L971" i="2" s="1"/>
  <c r="M971" i="2"/>
  <c r="I971" i="2"/>
  <c r="I970" i="2"/>
  <c r="J970" i="2"/>
  <c r="L970" i="2" s="1"/>
  <c r="M970" i="2"/>
  <c r="J969" i="2"/>
  <c r="I969" i="2"/>
  <c r="M969" i="2"/>
  <c r="M968" i="2"/>
  <c r="I968" i="2"/>
  <c r="J968" i="2"/>
  <c r="L968" i="2" s="1"/>
  <c r="J967" i="2"/>
  <c r="L967" i="2" s="1"/>
  <c r="M967" i="2"/>
  <c r="I967" i="2"/>
  <c r="I966" i="2"/>
  <c r="J966" i="2"/>
  <c r="M966" i="2"/>
  <c r="J965" i="2"/>
  <c r="L965" i="2" s="1"/>
  <c r="M965" i="2"/>
  <c r="I965" i="2"/>
  <c r="I964" i="2"/>
  <c r="J964" i="2"/>
  <c r="M964" i="2"/>
  <c r="G6" i="5"/>
  <c r="D52" i="3"/>
  <c r="J963" i="2"/>
  <c r="M963" i="2"/>
  <c r="I963" i="2"/>
  <c r="M962" i="2"/>
  <c r="J962" i="2"/>
  <c r="L962" i="2" s="1"/>
  <c r="I962" i="2"/>
  <c r="M961" i="2"/>
  <c r="I961" i="2"/>
  <c r="D27" i="3"/>
  <c r="J961" i="2"/>
  <c r="L961" i="2" s="1"/>
  <c r="D34" i="3"/>
  <c r="J960" i="2"/>
  <c r="L960" i="2" s="1"/>
  <c r="D41" i="3"/>
  <c r="D53" i="3"/>
  <c r="I960" i="2"/>
  <c r="G7" i="5"/>
  <c r="M960" i="2"/>
  <c r="M959" i="2"/>
  <c r="D28" i="3"/>
  <c r="I959" i="2"/>
  <c r="D42" i="3"/>
  <c r="D35" i="3"/>
  <c r="J959" i="2"/>
  <c r="L959" i="2" s="1"/>
  <c r="M958" i="2"/>
  <c r="I958" i="2"/>
  <c r="J958" i="2"/>
  <c r="L958" i="2" s="1"/>
  <c r="I957" i="2"/>
  <c r="J957" i="2"/>
  <c r="D47" i="3"/>
  <c r="G8" i="5"/>
  <c r="M957" i="2"/>
  <c r="D32" i="3"/>
  <c r="D54" i="3"/>
  <c r="D39" i="3"/>
  <c r="D25" i="3"/>
  <c r="M819" i="2"/>
  <c r="C8" i="5"/>
  <c r="F206" i="4" s="1"/>
  <c r="M683" i="2"/>
  <c r="I956" i="2"/>
  <c r="D46" i="3"/>
  <c r="M956" i="2"/>
  <c r="D26" i="3"/>
  <c r="M411" i="2"/>
  <c r="M139" i="2"/>
  <c r="M547" i="2"/>
  <c r="D40" i="3"/>
  <c r="D33" i="3"/>
  <c r="C20" i="3"/>
  <c r="D20" i="3" s="1"/>
  <c r="C9" i="5"/>
  <c r="M275" i="2"/>
  <c r="J956" i="2"/>
  <c r="L956" i="2" s="1"/>
  <c r="C21" i="3"/>
  <c r="D21" i="3" s="1"/>
  <c r="C18" i="3"/>
  <c r="D18" i="3" s="1"/>
  <c r="H6" i="4"/>
  <c r="D51" i="3"/>
  <c r="G5" i="5"/>
  <c r="C17" i="5" s="1"/>
  <c r="C7" i="5"/>
  <c r="M954" i="2"/>
  <c r="J954" i="2"/>
  <c r="L954" i="2" s="1"/>
  <c r="I954" i="2"/>
  <c r="I953" i="2"/>
  <c r="J953" i="2"/>
  <c r="L953" i="2" s="1"/>
  <c r="M953" i="2"/>
  <c r="M952" i="2"/>
  <c r="I952" i="2"/>
  <c r="J952" i="2"/>
  <c r="I951" i="2"/>
  <c r="J951" i="2"/>
  <c r="L951" i="2" s="1"/>
  <c r="M951" i="2"/>
  <c r="M950" i="2"/>
  <c r="I950" i="2"/>
  <c r="J950" i="2"/>
  <c r="L950" i="2" s="1"/>
  <c r="M949" i="2"/>
  <c r="J949" i="2"/>
  <c r="L949" i="2" s="1"/>
  <c r="I949" i="2"/>
  <c r="J948" i="2"/>
  <c r="L948" i="2" s="1"/>
  <c r="M948" i="2"/>
  <c r="I948" i="2"/>
  <c r="I947" i="2"/>
  <c r="J947" i="2"/>
  <c r="M947" i="2"/>
  <c r="I946" i="2"/>
  <c r="J946" i="2"/>
  <c r="L946" i="2" s="1"/>
  <c r="M946" i="2"/>
  <c r="I945" i="2"/>
  <c r="M945" i="2"/>
  <c r="J945" i="2"/>
  <c r="L945" i="2" s="1"/>
  <c r="J944" i="2"/>
  <c r="L944" i="2" s="1"/>
  <c r="M944" i="2"/>
  <c r="I944" i="2"/>
  <c r="J943" i="2"/>
  <c r="L943" i="2" s="1"/>
  <c r="M943" i="2"/>
  <c r="I943" i="2"/>
  <c r="J942" i="2"/>
  <c r="L942" i="2" s="1"/>
  <c r="I942" i="2"/>
  <c r="M942" i="2"/>
  <c r="I941" i="2"/>
  <c r="M941" i="2"/>
  <c r="J941" i="2"/>
  <c r="L941" i="2" s="1"/>
  <c r="M940" i="2"/>
  <c r="I940" i="2"/>
  <c r="J940" i="2"/>
  <c r="M939" i="2"/>
  <c r="J939" i="2"/>
  <c r="L939" i="2" s="1"/>
  <c r="I939" i="2"/>
  <c r="M938" i="2"/>
  <c r="J938" i="2"/>
  <c r="L938" i="2" s="1"/>
  <c r="I938" i="2"/>
  <c r="I937" i="2"/>
  <c r="M937" i="2"/>
  <c r="J937" i="2"/>
  <c r="L937" i="2" s="1"/>
  <c r="M936" i="2"/>
  <c r="J936" i="2"/>
  <c r="L936" i="2" s="1"/>
  <c r="I936" i="2"/>
  <c r="M935" i="2"/>
  <c r="J935" i="2"/>
  <c r="L935" i="2" s="1"/>
  <c r="I935" i="2"/>
  <c r="M934" i="2"/>
  <c r="J934" i="2"/>
  <c r="L934" i="2" s="1"/>
  <c r="I934" i="2"/>
  <c r="I933" i="2"/>
  <c r="J933" i="2"/>
  <c r="L933" i="2" s="1"/>
  <c r="M933" i="2"/>
  <c r="I932" i="2"/>
  <c r="J932" i="2"/>
  <c r="L932" i="2" s="1"/>
  <c r="M932" i="2"/>
  <c r="I931" i="2"/>
  <c r="J931" i="2"/>
  <c r="M931" i="2"/>
  <c r="I930" i="2"/>
  <c r="J930" i="2"/>
  <c r="M930" i="2"/>
  <c r="I929" i="2"/>
  <c r="J929" i="2"/>
  <c r="L929" i="2" s="1"/>
  <c r="M929" i="2"/>
  <c r="M928" i="2"/>
  <c r="I928" i="2"/>
  <c r="J928" i="2"/>
  <c r="L928" i="2" s="1"/>
  <c r="M927" i="2"/>
  <c r="I927" i="2"/>
  <c r="J927" i="2"/>
  <c r="L927" i="2" s="1"/>
  <c r="M926" i="2"/>
  <c r="J926" i="2"/>
  <c r="L926" i="2" s="1"/>
  <c r="I926" i="2"/>
  <c r="J925" i="2"/>
  <c r="L925" i="2" s="1"/>
  <c r="I925" i="2"/>
  <c r="M925" i="2"/>
  <c r="M924" i="2"/>
  <c r="J924" i="2"/>
  <c r="L924" i="2" s="1"/>
  <c r="I924" i="2"/>
  <c r="M923" i="2"/>
  <c r="J923" i="2"/>
  <c r="L923" i="2" s="1"/>
  <c r="I923" i="2"/>
  <c r="I922" i="2"/>
  <c r="M922" i="2"/>
  <c r="J922" i="2"/>
  <c r="L922" i="2" s="1"/>
  <c r="M921" i="2"/>
  <c r="J921" i="2"/>
  <c r="L921" i="2" s="1"/>
  <c r="I921" i="2"/>
  <c r="M920" i="2"/>
  <c r="J920" i="2"/>
  <c r="L920" i="2" s="1"/>
  <c r="I920" i="2"/>
  <c r="I919" i="2"/>
  <c r="M919" i="2"/>
  <c r="J919" i="2"/>
  <c r="L919" i="2" s="1"/>
  <c r="M918" i="2"/>
  <c r="I918" i="2"/>
  <c r="J918" i="2"/>
  <c r="L918" i="2" s="1"/>
  <c r="M917" i="2"/>
  <c r="I917" i="2"/>
  <c r="J917" i="2"/>
  <c r="L917" i="2" s="1"/>
  <c r="M916" i="2"/>
  <c r="J916" i="2"/>
  <c r="I916" i="2"/>
  <c r="J915" i="2"/>
  <c r="M915" i="2"/>
  <c r="I915" i="2"/>
  <c r="I914" i="2"/>
  <c r="M914" i="2"/>
  <c r="J914" i="2"/>
  <c r="L914" i="2" s="1"/>
  <c r="J913" i="2"/>
  <c r="L913" i="2" s="1"/>
  <c r="I913" i="2"/>
  <c r="M913" i="2"/>
  <c r="M912" i="2"/>
  <c r="J912" i="2"/>
  <c r="L912" i="2" s="1"/>
  <c r="I912" i="2"/>
  <c r="M911" i="2"/>
  <c r="J911" i="2"/>
  <c r="L911" i="2" s="1"/>
  <c r="I911" i="2"/>
  <c r="M910" i="2"/>
  <c r="J910" i="2"/>
  <c r="L910" i="2" s="1"/>
  <c r="I910" i="2"/>
  <c r="M909" i="2"/>
  <c r="J909" i="2"/>
  <c r="L909" i="2" s="1"/>
  <c r="I909" i="2"/>
  <c r="M908" i="2"/>
  <c r="J908" i="2"/>
  <c r="I908" i="2"/>
  <c r="M907" i="2"/>
  <c r="J907" i="2"/>
  <c r="L907" i="2" s="1"/>
  <c r="I907" i="2"/>
  <c r="M906" i="2"/>
  <c r="J906" i="2"/>
  <c r="I906" i="2"/>
  <c r="M905" i="2"/>
  <c r="J905" i="2"/>
  <c r="L905" i="2" s="1"/>
  <c r="I905" i="2"/>
  <c r="M904" i="2"/>
  <c r="J904" i="2"/>
  <c r="I904" i="2"/>
  <c r="M903" i="2"/>
  <c r="J903" i="2"/>
  <c r="L903" i="2" s="1"/>
  <c r="I903" i="2"/>
  <c r="M902" i="2"/>
  <c r="J902" i="2"/>
  <c r="L902" i="2" s="1"/>
  <c r="I902" i="2"/>
  <c r="M901" i="2"/>
  <c r="J901" i="2"/>
  <c r="I901" i="2"/>
  <c r="M900" i="2"/>
  <c r="J900" i="2"/>
  <c r="L900" i="2" s="1"/>
  <c r="I900" i="2"/>
  <c r="M899" i="2"/>
  <c r="J899" i="2"/>
  <c r="L899" i="2" s="1"/>
  <c r="I899" i="2"/>
  <c r="M898" i="2"/>
  <c r="J898" i="2"/>
  <c r="L898" i="2" s="1"/>
  <c r="I898" i="2"/>
  <c r="M897" i="2"/>
  <c r="J897" i="2"/>
  <c r="L897" i="2" s="1"/>
  <c r="I897" i="2"/>
  <c r="M896" i="2"/>
  <c r="J896" i="2"/>
  <c r="L896" i="2" s="1"/>
  <c r="I896" i="2"/>
  <c r="M895" i="2"/>
  <c r="J895" i="2"/>
  <c r="I895" i="2"/>
  <c r="M894" i="2"/>
  <c r="J894" i="2"/>
  <c r="L894" i="2" s="1"/>
  <c r="I894" i="2"/>
  <c r="M893" i="2"/>
  <c r="J893" i="2"/>
  <c r="L893" i="2" s="1"/>
  <c r="I893" i="2"/>
  <c r="M892" i="2"/>
  <c r="J892" i="2"/>
  <c r="L892" i="2" s="1"/>
  <c r="I892" i="2"/>
  <c r="M891" i="2"/>
  <c r="J891" i="2"/>
  <c r="L891" i="2" s="1"/>
  <c r="I891" i="2"/>
  <c r="M890" i="2"/>
  <c r="J890" i="2"/>
  <c r="I890" i="2"/>
  <c r="M889" i="2"/>
  <c r="J889" i="2"/>
  <c r="I889" i="2"/>
  <c r="M888" i="2"/>
  <c r="J888" i="2"/>
  <c r="L888" i="2" s="1"/>
  <c r="I888" i="2"/>
  <c r="M887" i="2"/>
  <c r="I887" i="2"/>
  <c r="J887" i="2"/>
  <c r="L887" i="2" s="1"/>
  <c r="M886" i="2"/>
  <c r="J886" i="2"/>
  <c r="L886" i="2" s="1"/>
  <c r="I886" i="2"/>
  <c r="M885" i="2"/>
  <c r="J885" i="2"/>
  <c r="L885" i="2" s="1"/>
  <c r="I885" i="2"/>
  <c r="J884" i="2"/>
  <c r="I884" i="2"/>
  <c r="M884" i="2"/>
  <c r="J883" i="2"/>
  <c r="I883" i="2"/>
  <c r="M883" i="2"/>
  <c r="M882" i="2"/>
  <c r="J882" i="2"/>
  <c r="I882" i="2"/>
  <c r="M881" i="2"/>
  <c r="J881" i="2"/>
  <c r="L881" i="2" s="1"/>
  <c r="I881" i="2"/>
  <c r="M880" i="2"/>
  <c r="J880" i="2"/>
  <c r="L880" i="2" s="1"/>
  <c r="I880" i="2"/>
  <c r="M879" i="2"/>
  <c r="J879" i="2"/>
  <c r="L879" i="2" s="1"/>
  <c r="I879" i="2"/>
  <c r="M878" i="2"/>
  <c r="J878" i="2"/>
  <c r="L878" i="2" s="1"/>
  <c r="I878" i="2"/>
  <c r="M877" i="2"/>
  <c r="J877" i="2"/>
  <c r="L877" i="2" s="1"/>
  <c r="I877" i="2"/>
  <c r="M876" i="2"/>
  <c r="I876" i="2"/>
  <c r="J876" i="2"/>
  <c r="L876" i="2" s="1"/>
  <c r="M875" i="2"/>
  <c r="J875" i="2"/>
  <c r="L875" i="2" s="1"/>
  <c r="I875" i="2"/>
  <c r="M874" i="2"/>
  <c r="J874" i="2"/>
  <c r="L874" i="2" s="1"/>
  <c r="I874" i="2"/>
  <c r="M873" i="2"/>
  <c r="J873" i="2"/>
  <c r="L873" i="2" s="1"/>
  <c r="I873" i="2"/>
  <c r="M872" i="2"/>
  <c r="J872" i="2"/>
  <c r="L872" i="2" s="1"/>
  <c r="I872" i="2"/>
  <c r="M871" i="2"/>
  <c r="J871" i="2"/>
  <c r="L871" i="2" s="1"/>
  <c r="I871" i="2"/>
  <c r="J870" i="2"/>
  <c r="L870" i="2" s="1"/>
  <c r="I870" i="2"/>
  <c r="M870" i="2"/>
  <c r="J869" i="2"/>
  <c r="L869" i="2" s="1"/>
  <c r="I869" i="2"/>
  <c r="M869" i="2"/>
  <c r="M868" i="2"/>
  <c r="J868" i="2"/>
  <c r="L868" i="2" s="1"/>
  <c r="I868" i="2"/>
  <c r="M867" i="2"/>
  <c r="J867" i="2"/>
  <c r="L867" i="2" s="1"/>
  <c r="I867" i="2"/>
  <c r="M866" i="2"/>
  <c r="J866" i="2"/>
  <c r="L866" i="2" s="1"/>
  <c r="I866" i="2"/>
  <c r="M865" i="2"/>
  <c r="J865" i="2"/>
  <c r="L865" i="2" s="1"/>
  <c r="I865" i="2"/>
  <c r="M864" i="2"/>
  <c r="J864" i="2"/>
  <c r="L864" i="2" s="1"/>
  <c r="I864" i="2"/>
  <c r="J863" i="2"/>
  <c r="L863" i="2" s="1"/>
  <c r="I863" i="2"/>
  <c r="M863" i="2"/>
  <c r="J862" i="2"/>
  <c r="L862" i="2" s="1"/>
  <c r="I862" i="2"/>
  <c r="M862" i="2"/>
  <c r="M861" i="2"/>
  <c r="J861" i="2"/>
  <c r="I861" i="2"/>
  <c r="M860" i="2"/>
  <c r="J860" i="2"/>
  <c r="L860" i="2" s="1"/>
  <c r="I860" i="2"/>
  <c r="M859" i="2"/>
  <c r="J859" i="2"/>
  <c r="L859" i="2" s="1"/>
  <c r="I859" i="2"/>
  <c r="M858" i="2"/>
  <c r="J858" i="2"/>
  <c r="L858" i="2" s="1"/>
  <c r="I858" i="2"/>
  <c r="M857" i="2"/>
  <c r="J857" i="2"/>
  <c r="L857" i="2" s="1"/>
  <c r="I857" i="2"/>
  <c r="J856" i="2"/>
  <c r="I856" i="2"/>
  <c r="M856" i="2"/>
  <c r="J855" i="2"/>
  <c r="L855" i="2" s="1"/>
  <c r="I855" i="2"/>
  <c r="M855" i="2"/>
  <c r="M854" i="2"/>
  <c r="J854" i="2"/>
  <c r="L854" i="2" s="1"/>
  <c r="I854" i="2"/>
  <c r="I853" i="2"/>
  <c r="M853" i="2"/>
  <c r="J853" i="2"/>
  <c r="M852" i="2"/>
  <c r="J852" i="2"/>
  <c r="L852" i="2" s="1"/>
  <c r="I852" i="2"/>
  <c r="M851" i="2"/>
  <c r="J851" i="2"/>
  <c r="I851" i="2"/>
  <c r="M850" i="2"/>
  <c r="J850" i="2"/>
  <c r="L850" i="2" s="1"/>
  <c r="I850" i="2"/>
  <c r="M849" i="2"/>
  <c r="J849" i="2"/>
  <c r="L849" i="2" s="1"/>
  <c r="I849" i="2"/>
  <c r="I848" i="2"/>
  <c r="M848" i="2"/>
  <c r="J848" i="2"/>
  <c r="L848" i="2" s="1"/>
  <c r="M847" i="2"/>
  <c r="J847" i="2"/>
  <c r="L847" i="2" s="1"/>
  <c r="I847" i="2"/>
  <c r="M846" i="2"/>
  <c r="J846" i="2"/>
  <c r="L846" i="2" s="1"/>
  <c r="I846" i="2"/>
  <c r="M845" i="2"/>
  <c r="J845" i="2"/>
  <c r="L845" i="2" s="1"/>
  <c r="I845" i="2"/>
  <c r="M844" i="2"/>
  <c r="J844" i="2"/>
  <c r="L844" i="2" s="1"/>
  <c r="I844" i="2"/>
  <c r="J843" i="2"/>
  <c r="L843" i="2" s="1"/>
  <c r="I843" i="2"/>
  <c r="M843" i="2"/>
  <c r="M842" i="2"/>
  <c r="J842" i="2"/>
  <c r="L842" i="2" s="1"/>
  <c r="I842" i="2"/>
  <c r="J841" i="2"/>
  <c r="I841" i="2"/>
  <c r="M841" i="2"/>
  <c r="M840" i="2"/>
  <c r="J840" i="2"/>
  <c r="L840" i="2" s="1"/>
  <c r="I840" i="2"/>
  <c r="M839" i="2"/>
  <c r="J839" i="2"/>
  <c r="L839" i="2" s="1"/>
  <c r="I839" i="2"/>
  <c r="M838" i="2"/>
  <c r="J838" i="2"/>
  <c r="L838" i="2" s="1"/>
  <c r="I838" i="2"/>
  <c r="M837" i="2"/>
  <c r="J837" i="2"/>
  <c r="L837" i="2" s="1"/>
  <c r="I837" i="2"/>
  <c r="M836" i="2"/>
  <c r="J836" i="2"/>
  <c r="I836" i="2"/>
  <c r="M835" i="2"/>
  <c r="I835" i="2"/>
  <c r="J835" i="2"/>
  <c r="L835" i="2" s="1"/>
  <c r="M834" i="2"/>
  <c r="J834" i="2"/>
  <c r="L834" i="2" s="1"/>
  <c r="I834" i="2"/>
  <c r="M833" i="2"/>
  <c r="I833" i="2"/>
  <c r="J833" i="2"/>
  <c r="L833" i="2" s="1"/>
  <c r="M832" i="2"/>
  <c r="J832" i="2"/>
  <c r="L832" i="2" s="1"/>
  <c r="I832" i="2"/>
  <c r="M831" i="2"/>
  <c r="J831" i="2"/>
  <c r="L831" i="2" s="1"/>
  <c r="I831" i="2"/>
  <c r="M830" i="2"/>
  <c r="J830" i="2"/>
  <c r="L830" i="2" s="1"/>
  <c r="I830" i="2"/>
  <c r="M829" i="2"/>
  <c r="J829" i="2"/>
  <c r="L829" i="2" s="1"/>
  <c r="I829" i="2"/>
  <c r="M828" i="2"/>
  <c r="J828" i="2"/>
  <c r="L828" i="2" s="1"/>
  <c r="I828" i="2"/>
  <c r="M827" i="2"/>
  <c r="I827" i="2"/>
  <c r="J827" i="2"/>
  <c r="L827" i="2" s="1"/>
  <c r="I826" i="2"/>
  <c r="J826" i="2"/>
  <c r="L826" i="2" s="1"/>
  <c r="M826" i="2"/>
  <c r="M825" i="2"/>
  <c r="J825" i="2"/>
  <c r="L825" i="2" s="1"/>
  <c r="I825" i="2"/>
  <c r="M824" i="2"/>
  <c r="J824" i="2"/>
  <c r="L824" i="2" s="1"/>
  <c r="I824" i="2"/>
  <c r="M823" i="2"/>
  <c r="J823" i="2"/>
  <c r="L823" i="2" s="1"/>
  <c r="I823" i="2"/>
  <c r="I822" i="2"/>
  <c r="M822" i="2"/>
  <c r="J822" i="2"/>
  <c r="M821" i="2"/>
  <c r="J821" i="2"/>
  <c r="L821" i="2" s="1"/>
  <c r="I821" i="2"/>
  <c r="I820" i="2"/>
  <c r="M820" i="2"/>
  <c r="J820" i="2"/>
  <c r="L820" i="2" s="1"/>
  <c r="M818" i="2"/>
  <c r="J818" i="2"/>
  <c r="L818" i="2" s="1"/>
  <c r="I818" i="2"/>
  <c r="J817" i="2"/>
  <c r="L817" i="2" s="1"/>
  <c r="I817" i="2"/>
  <c r="M817" i="2"/>
  <c r="M816" i="2"/>
  <c r="J816" i="2"/>
  <c r="L816" i="2" s="1"/>
  <c r="I816" i="2"/>
  <c r="J815" i="2"/>
  <c r="L815" i="2" s="1"/>
  <c r="I815" i="2"/>
  <c r="M815" i="2"/>
  <c r="J814" i="2"/>
  <c r="L814" i="2" s="1"/>
  <c r="I814" i="2"/>
  <c r="M814" i="2"/>
  <c r="M813" i="2"/>
  <c r="I813" i="2"/>
  <c r="J813" i="2"/>
  <c r="L813" i="2" s="1"/>
  <c r="J812" i="2"/>
  <c r="L812" i="2" s="1"/>
  <c r="I812" i="2"/>
  <c r="M812" i="2"/>
  <c r="M811" i="2"/>
  <c r="J811" i="2"/>
  <c r="L811" i="2" s="1"/>
  <c r="I811" i="2"/>
  <c r="M810" i="2"/>
  <c r="J810" i="2"/>
  <c r="L810" i="2" s="1"/>
  <c r="I810" i="2"/>
  <c r="M809" i="2"/>
  <c r="J809" i="2"/>
  <c r="I809" i="2"/>
  <c r="M808" i="2"/>
  <c r="J808" i="2"/>
  <c r="L808" i="2" s="1"/>
  <c r="I808" i="2"/>
  <c r="M807" i="2"/>
  <c r="J807" i="2"/>
  <c r="L807" i="2" s="1"/>
  <c r="I807" i="2"/>
  <c r="M806" i="2"/>
  <c r="I806" i="2"/>
  <c r="J806" i="2"/>
  <c r="L806" i="2" s="1"/>
  <c r="I805" i="2"/>
  <c r="J805" i="2"/>
  <c r="L805" i="2" s="1"/>
  <c r="M805" i="2"/>
  <c r="M804" i="2"/>
  <c r="J804" i="2"/>
  <c r="L804" i="2" s="1"/>
  <c r="I804" i="2"/>
  <c r="M803" i="2"/>
  <c r="J803" i="2"/>
  <c r="L803" i="2" s="1"/>
  <c r="I803" i="2"/>
  <c r="J802" i="2"/>
  <c r="L802" i="2" s="1"/>
  <c r="I802" i="2"/>
  <c r="M802" i="2"/>
  <c r="M801" i="2"/>
  <c r="J801" i="2"/>
  <c r="L801" i="2" s="1"/>
  <c r="I801" i="2"/>
  <c r="M800" i="2"/>
  <c r="I800" i="2"/>
  <c r="J800" i="2"/>
  <c r="L800" i="2" s="1"/>
  <c r="J799" i="2"/>
  <c r="L799" i="2" s="1"/>
  <c r="I799" i="2"/>
  <c r="M799" i="2"/>
  <c r="I798" i="2"/>
  <c r="M798" i="2"/>
  <c r="J798" i="2"/>
  <c r="M797" i="2"/>
  <c r="I797" i="2"/>
  <c r="J797" i="2"/>
  <c r="L797" i="2" s="1"/>
  <c r="M796" i="2"/>
  <c r="I796" i="2"/>
  <c r="J796" i="2"/>
  <c r="L796" i="2" s="1"/>
  <c r="M795" i="2"/>
  <c r="I795" i="2"/>
  <c r="J795" i="2"/>
  <c r="J794" i="2"/>
  <c r="L794" i="2" s="1"/>
  <c r="M794" i="2"/>
  <c r="I794" i="2"/>
  <c r="J793" i="2"/>
  <c r="L793" i="2" s="1"/>
  <c r="I793" i="2"/>
  <c r="M793" i="2"/>
  <c r="I792" i="2"/>
  <c r="J792" i="2"/>
  <c r="M792" i="2"/>
  <c r="M791" i="2"/>
  <c r="J791" i="2"/>
  <c r="L791" i="2" s="1"/>
  <c r="I791" i="2"/>
  <c r="I790" i="2"/>
  <c r="J790" i="2"/>
  <c r="L790" i="2" s="1"/>
  <c r="M790" i="2"/>
  <c r="M789" i="2"/>
  <c r="J789" i="2"/>
  <c r="L789" i="2" s="1"/>
  <c r="I789" i="2"/>
  <c r="I788" i="2"/>
  <c r="M788" i="2"/>
  <c r="J788" i="2"/>
  <c r="L788" i="2" s="1"/>
  <c r="I787" i="2"/>
  <c r="J787" i="2"/>
  <c r="M787" i="2"/>
  <c r="I786" i="2"/>
  <c r="J786" i="2"/>
  <c r="L786" i="2" s="1"/>
  <c r="M786" i="2"/>
  <c r="I785" i="2"/>
  <c r="J785" i="2"/>
  <c r="L785" i="2" s="1"/>
  <c r="M785" i="2"/>
  <c r="M784" i="2"/>
  <c r="J784" i="2"/>
  <c r="I784" i="2"/>
  <c r="M783" i="2"/>
  <c r="J783" i="2"/>
  <c r="L783" i="2" s="1"/>
  <c r="I783" i="2"/>
  <c r="M782" i="2"/>
  <c r="J782" i="2"/>
  <c r="L782" i="2" s="1"/>
  <c r="I782" i="2"/>
  <c r="M781" i="2"/>
  <c r="J781" i="2"/>
  <c r="L781" i="2" s="1"/>
  <c r="I781" i="2"/>
  <c r="M780" i="2"/>
  <c r="J780" i="2"/>
  <c r="L780" i="2" s="1"/>
  <c r="I780" i="2"/>
  <c r="M779" i="2"/>
  <c r="J779" i="2"/>
  <c r="I779" i="2"/>
  <c r="M778" i="2"/>
  <c r="J778" i="2"/>
  <c r="L778" i="2" s="1"/>
  <c r="I778" i="2"/>
  <c r="M777" i="2"/>
  <c r="J777" i="2"/>
  <c r="L777" i="2" s="1"/>
  <c r="I777" i="2"/>
  <c r="M776" i="2"/>
  <c r="J776" i="2"/>
  <c r="L776" i="2" s="1"/>
  <c r="I776" i="2"/>
  <c r="M775" i="2"/>
  <c r="J775" i="2"/>
  <c r="L775" i="2" s="1"/>
  <c r="I775" i="2"/>
  <c r="M774" i="2"/>
  <c r="J774" i="2"/>
  <c r="L774" i="2" s="1"/>
  <c r="I774" i="2"/>
  <c r="M773" i="2"/>
  <c r="J773" i="2"/>
  <c r="L773" i="2" s="1"/>
  <c r="I773" i="2"/>
  <c r="M772" i="2"/>
  <c r="J772" i="2"/>
  <c r="L772" i="2" s="1"/>
  <c r="I772" i="2"/>
  <c r="M771" i="2"/>
  <c r="J771" i="2"/>
  <c r="L771" i="2" s="1"/>
  <c r="I771" i="2"/>
  <c r="M770" i="2"/>
  <c r="J770" i="2"/>
  <c r="L770" i="2" s="1"/>
  <c r="I770" i="2"/>
  <c r="M769" i="2"/>
  <c r="I769" i="2"/>
  <c r="J769" i="2"/>
  <c r="L769" i="2" s="1"/>
  <c r="I768" i="2"/>
  <c r="J768" i="2"/>
  <c r="M768" i="2"/>
  <c r="J767" i="2"/>
  <c r="M767" i="2"/>
  <c r="I767" i="2"/>
  <c r="M766" i="2"/>
  <c r="I766" i="2"/>
  <c r="J766" i="2"/>
  <c r="L766" i="2" s="1"/>
  <c r="J765" i="2"/>
  <c r="L765" i="2" s="1"/>
  <c r="M765" i="2"/>
  <c r="I765" i="2"/>
  <c r="M764" i="2"/>
  <c r="J764" i="2"/>
  <c r="L764" i="2" s="1"/>
  <c r="I764" i="2"/>
  <c r="M763" i="2"/>
  <c r="I763" i="2"/>
  <c r="J763" i="2"/>
  <c r="M762" i="2"/>
  <c r="I762" i="2"/>
  <c r="J762" i="2"/>
  <c r="L762" i="2" s="1"/>
  <c r="J761" i="2"/>
  <c r="L761" i="2" s="1"/>
  <c r="I761" i="2"/>
  <c r="M761" i="2"/>
  <c r="I760" i="2"/>
  <c r="M760" i="2"/>
  <c r="J760" i="2"/>
  <c r="M759" i="2"/>
  <c r="J759" i="2"/>
  <c r="I759" i="2"/>
  <c r="M758" i="2"/>
  <c r="J758" i="2"/>
  <c r="L758" i="2" s="1"/>
  <c r="I758" i="2"/>
  <c r="I757" i="2"/>
  <c r="M757" i="2"/>
  <c r="J757" i="2"/>
  <c r="M756" i="2"/>
  <c r="J756" i="2"/>
  <c r="I756" i="2"/>
  <c r="M755" i="2"/>
  <c r="I755" i="2"/>
  <c r="J755" i="2"/>
  <c r="L755" i="2" s="1"/>
  <c r="I754" i="2"/>
  <c r="J754" i="2"/>
  <c r="M754" i="2"/>
  <c r="J753" i="2"/>
  <c r="L753" i="2" s="1"/>
  <c r="I753" i="2"/>
  <c r="M753" i="2"/>
  <c r="M752" i="2"/>
  <c r="I752" i="2"/>
  <c r="J752" i="2"/>
  <c r="L752" i="2" s="1"/>
  <c r="M751" i="2"/>
  <c r="J751" i="2"/>
  <c r="I751" i="2"/>
  <c r="M750" i="2"/>
  <c r="J750" i="2"/>
  <c r="I750" i="2"/>
  <c r="M749" i="2"/>
  <c r="J749" i="2"/>
  <c r="L749" i="2" s="1"/>
  <c r="I749" i="2"/>
  <c r="I748" i="2"/>
  <c r="J748" i="2"/>
  <c r="L748" i="2" s="1"/>
  <c r="M748" i="2"/>
  <c r="M747" i="2"/>
  <c r="I747" i="2"/>
  <c r="J747" i="2"/>
  <c r="L747" i="2" s="1"/>
  <c r="M746" i="2"/>
  <c r="J746" i="2"/>
  <c r="L746" i="2" s="1"/>
  <c r="I746" i="2"/>
  <c r="M745" i="2"/>
  <c r="J745" i="2"/>
  <c r="L745" i="2" s="1"/>
  <c r="I745" i="2"/>
  <c r="M744" i="2"/>
  <c r="J744" i="2"/>
  <c r="I744" i="2"/>
  <c r="J743" i="2"/>
  <c r="M743" i="2"/>
  <c r="I743" i="2"/>
  <c r="I742" i="2"/>
  <c r="J742" i="2"/>
  <c r="L742" i="2" s="1"/>
  <c r="M742" i="2"/>
  <c r="M741" i="2"/>
  <c r="J741" i="2"/>
  <c r="I741" i="2"/>
  <c r="M740" i="2"/>
  <c r="I740" i="2"/>
  <c r="J740" i="2"/>
  <c r="L740" i="2" s="1"/>
  <c r="M739" i="2"/>
  <c r="J739" i="2"/>
  <c r="I739" i="2"/>
  <c r="J738" i="2"/>
  <c r="L738" i="2" s="1"/>
  <c r="M738" i="2"/>
  <c r="I738" i="2"/>
  <c r="J737" i="2"/>
  <c r="L737" i="2" s="1"/>
  <c r="I737" i="2"/>
  <c r="M737" i="2"/>
  <c r="M736" i="2"/>
  <c r="J736" i="2"/>
  <c r="L736" i="2" s="1"/>
  <c r="I736" i="2"/>
  <c r="J735" i="2"/>
  <c r="L735" i="2" s="1"/>
  <c r="I735" i="2"/>
  <c r="M735" i="2"/>
  <c r="J734" i="2"/>
  <c r="L734" i="2" s="1"/>
  <c r="I734" i="2"/>
  <c r="M734" i="2"/>
  <c r="M733" i="2"/>
  <c r="J733" i="2"/>
  <c r="L733" i="2" s="1"/>
  <c r="I733" i="2"/>
  <c r="M732" i="2"/>
  <c r="J732" i="2"/>
  <c r="L732" i="2" s="1"/>
  <c r="I732" i="2"/>
  <c r="J731" i="2"/>
  <c r="L731" i="2" s="1"/>
  <c r="I731" i="2"/>
  <c r="M731" i="2"/>
  <c r="M730" i="2"/>
  <c r="J730" i="2"/>
  <c r="L730" i="2" s="1"/>
  <c r="I730" i="2"/>
  <c r="J729" i="2"/>
  <c r="L729" i="2" s="1"/>
  <c r="M729" i="2"/>
  <c r="I729" i="2"/>
  <c r="M728" i="2"/>
  <c r="J728" i="2"/>
  <c r="L728" i="2" s="1"/>
  <c r="I728" i="2"/>
  <c r="M727" i="2"/>
  <c r="J727" i="2"/>
  <c r="L727" i="2" s="1"/>
  <c r="I727" i="2"/>
  <c r="M726" i="2"/>
  <c r="J726" i="2"/>
  <c r="L726" i="2" s="1"/>
  <c r="I726" i="2"/>
  <c r="M725" i="2"/>
  <c r="J725" i="2"/>
  <c r="L725" i="2" s="1"/>
  <c r="I725" i="2"/>
  <c r="J724" i="2"/>
  <c r="L724" i="2" s="1"/>
  <c r="M724" i="2"/>
  <c r="I724" i="2"/>
  <c r="M723" i="2"/>
  <c r="J723" i="2"/>
  <c r="L723" i="2" s="1"/>
  <c r="I723" i="2"/>
  <c r="M722" i="2"/>
  <c r="J722" i="2"/>
  <c r="L722" i="2" s="1"/>
  <c r="I722" i="2"/>
  <c r="M721" i="2"/>
  <c r="J721" i="2"/>
  <c r="I721" i="2"/>
  <c r="I720" i="2"/>
  <c r="J720" i="2"/>
  <c r="L720" i="2" s="1"/>
  <c r="M720" i="2"/>
  <c r="I719" i="2"/>
  <c r="J719" i="2"/>
  <c r="L719" i="2" s="1"/>
  <c r="M719" i="2"/>
  <c r="I718" i="2"/>
  <c r="J718" i="2"/>
  <c r="L718" i="2" s="1"/>
  <c r="M718" i="2"/>
  <c r="I717" i="2"/>
  <c r="J717" i="2"/>
  <c r="M717" i="2"/>
  <c r="J716" i="2"/>
  <c r="I716" i="2"/>
  <c r="M716" i="2"/>
  <c r="M715" i="2"/>
  <c r="J715" i="2"/>
  <c r="L715" i="2" s="1"/>
  <c r="I715" i="2"/>
  <c r="M714" i="2"/>
  <c r="J714" i="2"/>
  <c r="L714" i="2" s="1"/>
  <c r="I714" i="2"/>
  <c r="I713" i="2"/>
  <c r="M713" i="2"/>
  <c r="J713" i="2"/>
  <c r="L713" i="2" s="1"/>
  <c r="M712" i="2"/>
  <c r="J712" i="2"/>
  <c r="L712" i="2" s="1"/>
  <c r="I712" i="2"/>
  <c r="I711" i="2"/>
  <c r="M711" i="2"/>
  <c r="J711" i="2"/>
  <c r="M710" i="2"/>
  <c r="J710" i="2"/>
  <c r="I710" i="2"/>
  <c r="M709" i="2"/>
  <c r="J709" i="2"/>
  <c r="L709" i="2" s="1"/>
  <c r="I709" i="2"/>
  <c r="J708" i="2"/>
  <c r="L708" i="2" s="1"/>
  <c r="I708" i="2"/>
  <c r="M708" i="2"/>
  <c r="M707" i="2"/>
  <c r="J707" i="2"/>
  <c r="L707" i="2" s="1"/>
  <c r="I707" i="2"/>
  <c r="M706" i="2"/>
  <c r="J706" i="2"/>
  <c r="L706" i="2" s="1"/>
  <c r="I706" i="2"/>
  <c r="J705" i="2"/>
  <c r="L705" i="2" s="1"/>
  <c r="I705" i="2"/>
  <c r="M705" i="2"/>
  <c r="M704" i="2"/>
  <c r="J704" i="2"/>
  <c r="L704" i="2" s="1"/>
  <c r="I704" i="2"/>
  <c r="J703" i="2"/>
  <c r="L703" i="2" s="1"/>
  <c r="M703" i="2"/>
  <c r="I703" i="2"/>
  <c r="M702" i="2"/>
  <c r="J702" i="2"/>
  <c r="L702" i="2" s="1"/>
  <c r="I702" i="2"/>
  <c r="M701" i="2"/>
  <c r="J701" i="2"/>
  <c r="L701" i="2" s="1"/>
  <c r="I701" i="2"/>
  <c r="J700" i="2"/>
  <c r="L700" i="2" s="1"/>
  <c r="I700" i="2"/>
  <c r="M700" i="2"/>
  <c r="M699" i="2"/>
  <c r="I699" i="2"/>
  <c r="J699" i="2"/>
  <c r="L699" i="2" s="1"/>
  <c r="I698" i="2"/>
  <c r="M698" i="2"/>
  <c r="J698" i="2"/>
  <c r="L698" i="2" s="1"/>
  <c r="M697" i="2"/>
  <c r="J697" i="2"/>
  <c r="L697" i="2" s="1"/>
  <c r="I697" i="2"/>
  <c r="M696" i="2"/>
  <c r="J696" i="2"/>
  <c r="L696" i="2" s="1"/>
  <c r="I696" i="2"/>
  <c r="M695" i="2"/>
  <c r="J695" i="2"/>
  <c r="L695" i="2" s="1"/>
  <c r="I695" i="2"/>
  <c r="J694" i="2"/>
  <c r="L694" i="2" s="1"/>
  <c r="I694" i="2"/>
  <c r="M694" i="2"/>
  <c r="M693" i="2"/>
  <c r="J693" i="2"/>
  <c r="I693" i="2"/>
  <c r="M692" i="2"/>
  <c r="J692" i="2"/>
  <c r="L692" i="2" s="1"/>
  <c r="I692" i="2"/>
  <c r="I691" i="2"/>
  <c r="J691" i="2"/>
  <c r="M691" i="2"/>
  <c r="I690" i="2"/>
  <c r="J690" i="2"/>
  <c r="M690" i="2"/>
  <c r="J689" i="2"/>
  <c r="L689" i="2" s="1"/>
  <c r="I689" i="2"/>
  <c r="M689" i="2"/>
  <c r="I688" i="2"/>
  <c r="M688" i="2"/>
  <c r="J688" i="2"/>
  <c r="L688" i="2" s="1"/>
  <c r="J687" i="2"/>
  <c r="L687" i="2" s="1"/>
  <c r="I687" i="2"/>
  <c r="M687" i="2"/>
  <c r="M686" i="2"/>
  <c r="I686" i="2"/>
  <c r="J686" i="2"/>
  <c r="L686" i="2" s="1"/>
  <c r="I685" i="2"/>
  <c r="J685" i="2"/>
  <c r="L685" i="2" s="1"/>
  <c r="M685" i="2"/>
  <c r="J684" i="2"/>
  <c r="L684" i="2" s="1"/>
  <c r="M684" i="2"/>
  <c r="I684" i="2"/>
  <c r="I682" i="2"/>
  <c r="J682" i="2"/>
  <c r="L682" i="2" s="1"/>
  <c r="M682" i="2"/>
  <c r="M681" i="2"/>
  <c r="I681" i="2"/>
  <c r="J681" i="2"/>
  <c r="I680" i="2"/>
  <c r="J680" i="2"/>
  <c r="M680" i="2"/>
  <c r="J679" i="2"/>
  <c r="L679" i="2" s="1"/>
  <c r="M679" i="2"/>
  <c r="I679" i="2"/>
  <c r="J678" i="2"/>
  <c r="M678" i="2"/>
  <c r="I678" i="2"/>
  <c r="M677" i="2"/>
  <c r="J677" i="2"/>
  <c r="L677" i="2" s="1"/>
  <c r="I677" i="2"/>
  <c r="M676" i="2"/>
  <c r="J676" i="2"/>
  <c r="I676" i="2"/>
  <c r="M675" i="2"/>
  <c r="J675" i="2"/>
  <c r="I675" i="2"/>
  <c r="I674" i="2"/>
  <c r="M674" i="2"/>
  <c r="J674" i="2"/>
  <c r="L674" i="2" s="1"/>
  <c r="I673" i="2"/>
  <c r="J673" i="2"/>
  <c r="L673" i="2" s="1"/>
  <c r="M673" i="2"/>
  <c r="I672" i="2"/>
  <c r="M672" i="2"/>
  <c r="J672" i="2"/>
  <c r="I671" i="2"/>
  <c r="J671" i="2"/>
  <c r="L671" i="2" s="1"/>
  <c r="M671" i="2"/>
  <c r="J670" i="2"/>
  <c r="L670" i="2" s="1"/>
  <c r="M670" i="2"/>
  <c r="I670" i="2"/>
  <c r="M669" i="2"/>
  <c r="J669" i="2"/>
  <c r="L669" i="2" s="1"/>
  <c r="I669" i="2"/>
  <c r="J668" i="2"/>
  <c r="L668" i="2" s="1"/>
  <c r="M668" i="2"/>
  <c r="I668" i="2"/>
  <c r="I667" i="2"/>
  <c r="M667" i="2"/>
  <c r="J667" i="2"/>
  <c r="L667" i="2" s="1"/>
  <c r="J666" i="2"/>
  <c r="M666" i="2"/>
  <c r="I666" i="2"/>
  <c r="I665" i="2"/>
  <c r="J665" i="2"/>
  <c r="M665" i="2"/>
  <c r="J664" i="2"/>
  <c r="M664" i="2"/>
  <c r="I664" i="2"/>
  <c r="M663" i="2"/>
  <c r="J663" i="2"/>
  <c r="L663" i="2" s="1"/>
  <c r="I663" i="2"/>
  <c r="M662" i="2"/>
  <c r="J662" i="2"/>
  <c r="L662" i="2" s="1"/>
  <c r="I662" i="2"/>
  <c r="M661" i="2"/>
  <c r="J661" i="2"/>
  <c r="L661" i="2" s="1"/>
  <c r="I661" i="2"/>
  <c r="M660" i="2"/>
  <c r="J660" i="2"/>
  <c r="I660" i="2"/>
  <c r="M659" i="2"/>
  <c r="J659" i="2"/>
  <c r="L659" i="2" s="1"/>
  <c r="I659" i="2"/>
  <c r="I658" i="2"/>
  <c r="M658" i="2"/>
  <c r="J658" i="2"/>
  <c r="L658" i="2" s="1"/>
  <c r="I657" i="2"/>
  <c r="M657" i="2"/>
  <c r="J657" i="2"/>
  <c r="L657" i="2" s="1"/>
  <c r="M656" i="2"/>
  <c r="I656" i="2"/>
  <c r="J656" i="2"/>
  <c r="L656" i="2" s="1"/>
  <c r="J655" i="2"/>
  <c r="L655" i="2" s="1"/>
  <c r="M655" i="2"/>
  <c r="I655" i="2"/>
  <c r="M654" i="2"/>
  <c r="J654" i="2"/>
  <c r="L654" i="2" s="1"/>
  <c r="I654" i="2"/>
  <c r="J653" i="2"/>
  <c r="L653" i="2" s="1"/>
  <c r="M653" i="2"/>
  <c r="I653" i="2"/>
  <c r="M652" i="2"/>
  <c r="J652" i="2"/>
  <c r="I652" i="2"/>
  <c r="M651" i="2"/>
  <c r="J651" i="2"/>
  <c r="L651" i="2" s="1"/>
  <c r="I651" i="2"/>
  <c r="M650" i="2"/>
  <c r="J650" i="2"/>
  <c r="L650" i="2" s="1"/>
  <c r="I650" i="2"/>
  <c r="M649" i="2"/>
  <c r="J649" i="2"/>
  <c r="L649" i="2" s="1"/>
  <c r="I649" i="2"/>
  <c r="M648" i="2"/>
  <c r="J648" i="2"/>
  <c r="L648" i="2" s="1"/>
  <c r="I648" i="2"/>
  <c r="M647" i="2"/>
  <c r="J647" i="2"/>
  <c r="L647" i="2" s="1"/>
  <c r="I647" i="2"/>
  <c r="M646" i="2"/>
  <c r="J646" i="2"/>
  <c r="I646" i="2"/>
  <c r="M645" i="2"/>
  <c r="J645" i="2"/>
  <c r="L645" i="2" s="1"/>
  <c r="I645" i="2"/>
  <c r="M644" i="2"/>
  <c r="J644" i="2"/>
  <c r="L644" i="2" s="1"/>
  <c r="I644" i="2"/>
  <c r="M643" i="2"/>
  <c r="J643" i="2"/>
  <c r="L643" i="2" s="1"/>
  <c r="I643" i="2"/>
  <c r="M642" i="2"/>
  <c r="J642" i="2"/>
  <c r="L642" i="2" s="1"/>
  <c r="I642" i="2"/>
  <c r="M641" i="2"/>
  <c r="J641" i="2"/>
  <c r="I641" i="2"/>
  <c r="M640" i="2"/>
  <c r="J640" i="2"/>
  <c r="L640" i="2" s="1"/>
  <c r="I640" i="2"/>
  <c r="M639" i="2"/>
  <c r="J639" i="2"/>
  <c r="I639" i="2"/>
  <c r="J638" i="2"/>
  <c r="L638" i="2" s="1"/>
  <c r="I638" i="2"/>
  <c r="M638" i="2"/>
  <c r="J637" i="2"/>
  <c r="I637" i="2"/>
  <c r="M637" i="2"/>
  <c r="M636" i="2"/>
  <c r="I636" i="2"/>
  <c r="J636" i="2"/>
  <c r="L636" i="2" s="1"/>
  <c r="J635" i="2"/>
  <c r="L635" i="2" s="1"/>
  <c r="I635" i="2"/>
  <c r="M635" i="2"/>
  <c r="M634" i="2"/>
  <c r="J634" i="2"/>
  <c r="L634" i="2" s="1"/>
  <c r="I634" i="2"/>
  <c r="M633" i="2"/>
  <c r="J633" i="2"/>
  <c r="L633" i="2" s="1"/>
  <c r="I633" i="2"/>
  <c r="M632" i="2"/>
  <c r="J632" i="2"/>
  <c r="L632" i="2" s="1"/>
  <c r="I632" i="2"/>
  <c r="J631" i="2"/>
  <c r="L631" i="2" s="1"/>
  <c r="I631" i="2"/>
  <c r="M631" i="2"/>
  <c r="I630" i="2"/>
  <c r="M630" i="2"/>
  <c r="J630" i="2"/>
  <c r="L630" i="2" s="1"/>
  <c r="J629" i="2"/>
  <c r="L629" i="2" s="1"/>
  <c r="M629" i="2"/>
  <c r="I629" i="2"/>
  <c r="M628" i="2"/>
  <c r="J628" i="2"/>
  <c r="L628" i="2" s="1"/>
  <c r="I628" i="2"/>
  <c r="J627" i="2"/>
  <c r="L627" i="2" s="1"/>
  <c r="I627" i="2"/>
  <c r="M627" i="2"/>
  <c r="J626" i="2"/>
  <c r="L626" i="2" s="1"/>
  <c r="I626" i="2"/>
  <c r="M626" i="2"/>
  <c r="M625" i="2"/>
  <c r="I625" i="2"/>
  <c r="J625" i="2"/>
  <c r="M624" i="2"/>
  <c r="J624" i="2"/>
  <c r="L624" i="2" s="1"/>
  <c r="I624" i="2"/>
  <c r="J623" i="2"/>
  <c r="L623" i="2" s="1"/>
  <c r="M623" i="2"/>
  <c r="I623" i="2"/>
  <c r="J622" i="2"/>
  <c r="L622" i="2" s="1"/>
  <c r="M622" i="2"/>
  <c r="I622" i="2"/>
  <c r="J621" i="2"/>
  <c r="L621" i="2" s="1"/>
  <c r="I621" i="2"/>
  <c r="M621" i="2"/>
  <c r="M620" i="2"/>
  <c r="J620" i="2"/>
  <c r="L620" i="2" s="1"/>
  <c r="I620" i="2"/>
  <c r="M619" i="2"/>
  <c r="J619" i="2"/>
  <c r="L619" i="2" s="1"/>
  <c r="I619" i="2"/>
  <c r="I618" i="2"/>
  <c r="M618" i="2"/>
  <c r="J618" i="2"/>
  <c r="L618" i="2" s="1"/>
  <c r="M617" i="2"/>
  <c r="J617" i="2"/>
  <c r="L617" i="2" s="1"/>
  <c r="I617" i="2"/>
  <c r="M616" i="2"/>
  <c r="J616" i="2"/>
  <c r="L616" i="2" s="1"/>
  <c r="I616" i="2"/>
  <c r="M615" i="2"/>
  <c r="J615" i="2"/>
  <c r="I615" i="2"/>
  <c r="M614" i="2"/>
  <c r="J614" i="2"/>
  <c r="L614" i="2" s="1"/>
  <c r="I614" i="2"/>
  <c r="M613" i="2"/>
  <c r="J613" i="2"/>
  <c r="L613" i="2" s="1"/>
  <c r="I613" i="2"/>
  <c r="M612" i="2"/>
  <c r="J612" i="2"/>
  <c r="L612" i="2" s="1"/>
  <c r="I612" i="2"/>
  <c r="M611" i="2"/>
  <c r="J611" i="2"/>
  <c r="L611" i="2" s="1"/>
  <c r="I611" i="2"/>
  <c r="M610" i="2"/>
  <c r="J610" i="2"/>
  <c r="L610" i="2" s="1"/>
  <c r="I610" i="2"/>
  <c r="M609" i="2"/>
  <c r="J609" i="2"/>
  <c r="L609" i="2" s="1"/>
  <c r="I609" i="2"/>
  <c r="M608" i="2"/>
  <c r="J608" i="2"/>
  <c r="I608" i="2"/>
  <c r="M607" i="2"/>
  <c r="J607" i="2"/>
  <c r="L607" i="2" s="1"/>
  <c r="I607" i="2"/>
  <c r="M606" i="2"/>
  <c r="J606" i="2"/>
  <c r="L606" i="2" s="1"/>
  <c r="I606" i="2"/>
  <c r="M605" i="2"/>
  <c r="J605" i="2"/>
  <c r="L605" i="2" s="1"/>
  <c r="I605" i="2"/>
  <c r="M604" i="2"/>
  <c r="I604" i="2"/>
  <c r="J604" i="2"/>
  <c r="I603" i="2"/>
  <c r="J603" i="2"/>
  <c r="L603" i="2" s="1"/>
  <c r="M603" i="2"/>
  <c r="I602" i="2"/>
  <c r="J602" i="2"/>
  <c r="L602" i="2" s="1"/>
  <c r="M602" i="2"/>
  <c r="M601" i="2"/>
  <c r="J601" i="2"/>
  <c r="I601" i="2"/>
  <c r="M600" i="2"/>
  <c r="J600" i="2"/>
  <c r="L600" i="2" s="1"/>
  <c r="I600" i="2"/>
  <c r="I599" i="2"/>
  <c r="M599" i="2"/>
  <c r="J599" i="2"/>
  <c r="L599" i="2" s="1"/>
  <c r="M598" i="2"/>
  <c r="J598" i="2"/>
  <c r="L598" i="2" s="1"/>
  <c r="I598" i="2"/>
  <c r="M597" i="2"/>
  <c r="J597" i="2"/>
  <c r="L597" i="2" s="1"/>
  <c r="I597" i="2"/>
  <c r="M596" i="2"/>
  <c r="I596" i="2"/>
  <c r="J596" i="2"/>
  <c r="L596" i="2" s="1"/>
  <c r="I595" i="2"/>
  <c r="J595" i="2"/>
  <c r="L595" i="2" s="1"/>
  <c r="M595" i="2"/>
  <c r="J594" i="2"/>
  <c r="L594" i="2" s="1"/>
  <c r="I594" i="2"/>
  <c r="M594" i="2"/>
  <c r="I593" i="2"/>
  <c r="J593" i="2"/>
  <c r="L593" i="2" s="1"/>
  <c r="M593" i="2"/>
  <c r="M592" i="2"/>
  <c r="J592" i="2"/>
  <c r="I592" i="2"/>
  <c r="M591" i="2"/>
  <c r="J591" i="2"/>
  <c r="L591" i="2" s="1"/>
  <c r="I591" i="2"/>
  <c r="I590" i="2"/>
  <c r="M590" i="2"/>
  <c r="J590" i="2"/>
  <c r="L590" i="2" s="1"/>
  <c r="J589" i="2"/>
  <c r="L589" i="2" s="1"/>
  <c r="I589" i="2"/>
  <c r="M589" i="2"/>
  <c r="M588" i="2"/>
  <c r="J588" i="2"/>
  <c r="I588" i="2"/>
  <c r="M587" i="2"/>
  <c r="I587" i="2"/>
  <c r="J587" i="2"/>
  <c r="L587" i="2" s="1"/>
  <c r="M586" i="2"/>
  <c r="J586" i="2"/>
  <c r="L586" i="2" s="1"/>
  <c r="I586" i="2"/>
  <c r="J585" i="2"/>
  <c r="L585" i="2" s="1"/>
  <c r="M585" i="2"/>
  <c r="I585" i="2"/>
  <c r="M584" i="2"/>
  <c r="J584" i="2"/>
  <c r="I584" i="2"/>
  <c r="M583" i="2"/>
  <c r="J583" i="2"/>
  <c r="L583" i="2" s="1"/>
  <c r="I583" i="2"/>
  <c r="M582" i="2"/>
  <c r="J582" i="2"/>
  <c r="I582" i="2"/>
  <c r="M581" i="2"/>
  <c r="J581" i="2"/>
  <c r="L581" i="2" s="1"/>
  <c r="I581" i="2"/>
  <c r="M580" i="2"/>
  <c r="J580" i="2"/>
  <c r="I580" i="2"/>
  <c r="M579" i="2"/>
  <c r="J579" i="2"/>
  <c r="L579" i="2" s="1"/>
  <c r="I579" i="2"/>
  <c r="M578" i="2"/>
  <c r="J578" i="2"/>
  <c r="L578" i="2" s="1"/>
  <c r="I578" i="2"/>
  <c r="I577" i="2"/>
  <c r="J577" i="2"/>
  <c r="M577" i="2"/>
  <c r="I576" i="2"/>
  <c r="M576" i="2"/>
  <c r="J576" i="2"/>
  <c r="I575" i="2"/>
  <c r="J575" i="2"/>
  <c r="L575" i="2" s="1"/>
  <c r="M575" i="2"/>
  <c r="I574" i="2"/>
  <c r="M574" i="2"/>
  <c r="J574" i="2"/>
  <c r="L574" i="2" s="1"/>
  <c r="I573" i="2"/>
  <c r="M573" i="2"/>
  <c r="J573" i="2"/>
  <c r="L573" i="2" s="1"/>
  <c r="J572" i="2"/>
  <c r="L572" i="2" s="1"/>
  <c r="M572" i="2"/>
  <c r="I572" i="2"/>
  <c r="M571" i="2"/>
  <c r="J571" i="2"/>
  <c r="L571" i="2" s="1"/>
  <c r="I571" i="2"/>
  <c r="I570" i="2"/>
  <c r="J570" i="2"/>
  <c r="L570" i="2" s="1"/>
  <c r="M570" i="2"/>
  <c r="I569" i="2"/>
  <c r="J569" i="2"/>
  <c r="L569" i="2" s="1"/>
  <c r="M569" i="2"/>
  <c r="M568" i="2"/>
  <c r="I568" i="2"/>
  <c r="J568" i="2"/>
  <c r="L568" i="2" s="1"/>
  <c r="J567" i="2"/>
  <c r="L567" i="2" s="1"/>
  <c r="I567" i="2"/>
  <c r="M567" i="2"/>
  <c r="M566" i="2"/>
  <c r="J566" i="2"/>
  <c r="L566" i="2" s="1"/>
  <c r="I566" i="2"/>
  <c r="J565" i="2"/>
  <c r="L565" i="2" s="1"/>
  <c r="M565" i="2"/>
  <c r="I565" i="2"/>
  <c r="M564" i="2"/>
  <c r="I564" i="2"/>
  <c r="J564" i="2"/>
  <c r="L564" i="2" s="1"/>
  <c r="M563" i="2"/>
  <c r="J563" i="2"/>
  <c r="L563" i="2" s="1"/>
  <c r="I563" i="2"/>
  <c r="I562" i="2"/>
  <c r="J562" i="2"/>
  <c r="M562" i="2"/>
  <c r="J561" i="2"/>
  <c r="L561" i="2" s="1"/>
  <c r="I561" i="2"/>
  <c r="M561" i="2"/>
  <c r="M560" i="2"/>
  <c r="J560" i="2"/>
  <c r="L560" i="2" s="1"/>
  <c r="I560" i="2"/>
  <c r="J559" i="2"/>
  <c r="L559" i="2" s="1"/>
  <c r="I559" i="2"/>
  <c r="M559" i="2"/>
  <c r="I558" i="2"/>
  <c r="J558" i="2"/>
  <c r="L558" i="2" s="1"/>
  <c r="M558" i="2"/>
  <c r="M557" i="2"/>
  <c r="J557" i="2"/>
  <c r="I557" i="2"/>
  <c r="M556" i="2"/>
  <c r="J556" i="2"/>
  <c r="L556" i="2" s="1"/>
  <c r="I556" i="2"/>
  <c r="M555" i="2"/>
  <c r="I555" i="2"/>
  <c r="J555" i="2"/>
  <c r="I554" i="2"/>
  <c r="M554" i="2"/>
  <c r="J554" i="2"/>
  <c r="L554" i="2" s="1"/>
  <c r="I553" i="2"/>
  <c r="M553" i="2"/>
  <c r="J553" i="2"/>
  <c r="L553" i="2" s="1"/>
  <c r="I552" i="2"/>
  <c r="J552" i="2"/>
  <c r="M552" i="2"/>
  <c r="M551" i="2"/>
  <c r="I551" i="2"/>
  <c r="J551" i="2"/>
  <c r="J550" i="2"/>
  <c r="I550" i="2"/>
  <c r="M550" i="2"/>
  <c r="I549" i="2"/>
  <c r="J549" i="2"/>
  <c r="L549" i="2" s="1"/>
  <c r="M549" i="2"/>
  <c r="M548" i="2"/>
  <c r="J548" i="2"/>
  <c r="L548" i="2" s="1"/>
  <c r="I548" i="2"/>
  <c r="M546" i="2"/>
  <c r="J546" i="2"/>
  <c r="L546" i="2" s="1"/>
  <c r="I546" i="2"/>
  <c r="I545" i="2"/>
  <c r="M545" i="2"/>
  <c r="J545" i="2"/>
  <c r="I544" i="2"/>
  <c r="J544" i="2"/>
  <c r="L544" i="2" s="1"/>
  <c r="M544" i="2"/>
  <c r="I543" i="2"/>
  <c r="M543" i="2"/>
  <c r="J543" i="2"/>
  <c r="I542" i="2"/>
  <c r="J542" i="2"/>
  <c r="L542" i="2" s="1"/>
  <c r="M542" i="2"/>
  <c r="I541" i="2"/>
  <c r="J541" i="2"/>
  <c r="L541" i="2" s="1"/>
  <c r="M541" i="2"/>
  <c r="J540" i="2"/>
  <c r="L540" i="2" s="1"/>
  <c r="M540" i="2"/>
  <c r="I540" i="2"/>
  <c r="I539" i="2"/>
  <c r="J539" i="2"/>
  <c r="L539" i="2" s="1"/>
  <c r="M539" i="2"/>
  <c r="I538" i="2"/>
  <c r="J538" i="2"/>
  <c r="L538" i="2" s="1"/>
  <c r="M538" i="2"/>
  <c r="M537" i="2"/>
  <c r="J537" i="2"/>
  <c r="I537" i="2"/>
  <c r="M536" i="2"/>
  <c r="J536" i="2"/>
  <c r="L536" i="2" s="1"/>
  <c r="I536" i="2"/>
  <c r="M535" i="2"/>
  <c r="J535" i="2"/>
  <c r="L535" i="2" s="1"/>
  <c r="I535" i="2"/>
  <c r="M534" i="2"/>
  <c r="J534" i="2"/>
  <c r="L534" i="2" s="1"/>
  <c r="I534" i="2"/>
  <c r="I533" i="2"/>
  <c r="J533" i="2"/>
  <c r="L533" i="2" s="1"/>
  <c r="M533" i="2"/>
  <c r="M532" i="2"/>
  <c r="J532" i="2"/>
  <c r="L532" i="2" s="1"/>
  <c r="I532" i="2"/>
  <c r="M531" i="2"/>
  <c r="J531" i="2"/>
  <c r="I531" i="2"/>
  <c r="I530" i="2"/>
  <c r="J530" i="2"/>
  <c r="M530" i="2"/>
  <c r="I529" i="2"/>
  <c r="J529" i="2"/>
  <c r="L529" i="2" s="1"/>
  <c r="M529" i="2"/>
  <c r="M528" i="2"/>
  <c r="J528" i="2"/>
  <c r="L528" i="2" s="1"/>
  <c r="I528" i="2"/>
  <c r="M527" i="2"/>
  <c r="I527" i="2"/>
  <c r="J527" i="2"/>
  <c r="L527" i="2" s="1"/>
  <c r="M526" i="2"/>
  <c r="I526" i="2"/>
  <c r="J526" i="2"/>
  <c r="L526" i="2" s="1"/>
  <c r="J525" i="2"/>
  <c r="L525" i="2" s="1"/>
  <c r="I525" i="2"/>
  <c r="M525" i="2"/>
  <c r="I524" i="2"/>
  <c r="J524" i="2"/>
  <c r="L524" i="2" s="1"/>
  <c r="M524" i="2"/>
  <c r="I523" i="2"/>
  <c r="J523" i="2"/>
  <c r="L523" i="2" s="1"/>
  <c r="M523" i="2"/>
  <c r="M522" i="2"/>
  <c r="J522" i="2"/>
  <c r="L522" i="2" s="1"/>
  <c r="I522" i="2"/>
  <c r="M521" i="2"/>
  <c r="J521" i="2"/>
  <c r="L521" i="2" s="1"/>
  <c r="I521" i="2"/>
  <c r="J520" i="2"/>
  <c r="L520" i="2" s="1"/>
  <c r="M520" i="2"/>
  <c r="I520" i="2"/>
  <c r="J519" i="2"/>
  <c r="L519" i="2" s="1"/>
  <c r="I519" i="2"/>
  <c r="M519" i="2"/>
  <c r="J518" i="2"/>
  <c r="L518" i="2" s="1"/>
  <c r="M518" i="2"/>
  <c r="I518" i="2"/>
  <c r="J517" i="2"/>
  <c r="L517" i="2" s="1"/>
  <c r="I517" i="2"/>
  <c r="M517" i="2"/>
  <c r="M516" i="2"/>
  <c r="J516" i="2"/>
  <c r="L516" i="2" s="1"/>
  <c r="I516" i="2"/>
  <c r="J515" i="2"/>
  <c r="L515" i="2" s="1"/>
  <c r="M515" i="2"/>
  <c r="I515" i="2"/>
  <c r="M514" i="2"/>
  <c r="J514" i="2"/>
  <c r="I514" i="2"/>
  <c r="M513" i="2"/>
  <c r="I513" i="2"/>
  <c r="J513" i="2"/>
  <c r="L513" i="2" s="1"/>
  <c r="J512" i="2"/>
  <c r="L512" i="2" s="1"/>
  <c r="I512" i="2"/>
  <c r="M512" i="2"/>
  <c r="I511" i="2"/>
  <c r="M511" i="2"/>
  <c r="J511" i="2"/>
  <c r="L511" i="2" s="1"/>
  <c r="M510" i="2"/>
  <c r="J510" i="2"/>
  <c r="L510" i="2" s="1"/>
  <c r="I510" i="2"/>
  <c r="M509" i="2"/>
  <c r="J509" i="2"/>
  <c r="L509" i="2" s="1"/>
  <c r="I509" i="2"/>
  <c r="M508" i="2"/>
  <c r="J508" i="2"/>
  <c r="L508" i="2" s="1"/>
  <c r="I508" i="2"/>
  <c r="M507" i="2"/>
  <c r="J507" i="2"/>
  <c r="I507" i="2"/>
  <c r="M506" i="2"/>
  <c r="J506" i="2"/>
  <c r="I506" i="2"/>
  <c r="I505" i="2"/>
  <c r="M505" i="2"/>
  <c r="J505" i="2"/>
  <c r="L505" i="2" s="1"/>
  <c r="M504" i="2"/>
  <c r="J504" i="2"/>
  <c r="L504" i="2" s="1"/>
  <c r="I504" i="2"/>
  <c r="M503" i="2"/>
  <c r="J503" i="2"/>
  <c r="L503" i="2" s="1"/>
  <c r="I503" i="2"/>
  <c r="M502" i="2"/>
  <c r="J502" i="2"/>
  <c r="L502" i="2" s="1"/>
  <c r="I502" i="2"/>
  <c r="M501" i="2"/>
  <c r="J501" i="2"/>
  <c r="L501" i="2" s="1"/>
  <c r="I501" i="2"/>
  <c r="I500" i="2"/>
  <c r="J500" i="2"/>
  <c r="L500" i="2" s="1"/>
  <c r="M500" i="2"/>
  <c r="I499" i="2"/>
  <c r="J499" i="2"/>
  <c r="L499" i="2" s="1"/>
  <c r="M499" i="2"/>
  <c r="I498" i="2"/>
  <c r="J498" i="2"/>
  <c r="L498" i="2" s="1"/>
  <c r="M498" i="2"/>
  <c r="I497" i="2"/>
  <c r="J497" i="2"/>
  <c r="M497" i="2"/>
  <c r="J496" i="2"/>
  <c r="L496" i="2" s="1"/>
  <c r="M496" i="2"/>
  <c r="I496" i="2"/>
  <c r="M495" i="2"/>
  <c r="J495" i="2"/>
  <c r="I495" i="2"/>
  <c r="J494" i="2"/>
  <c r="L494" i="2" s="1"/>
  <c r="I494" i="2"/>
  <c r="M494" i="2"/>
  <c r="M493" i="2"/>
  <c r="I493" i="2"/>
  <c r="J493" i="2"/>
  <c r="L493" i="2" s="1"/>
  <c r="M492" i="2"/>
  <c r="J492" i="2"/>
  <c r="I492" i="2"/>
  <c r="M491" i="2"/>
  <c r="J491" i="2"/>
  <c r="L491" i="2" s="1"/>
  <c r="I491" i="2"/>
  <c r="M490" i="2"/>
  <c r="J490" i="2"/>
  <c r="L490" i="2" s="1"/>
  <c r="I490" i="2"/>
  <c r="M489" i="2"/>
  <c r="J489" i="2"/>
  <c r="L489" i="2" s="1"/>
  <c r="I489" i="2"/>
  <c r="M488" i="2"/>
  <c r="J488" i="2"/>
  <c r="L488" i="2" s="1"/>
  <c r="I488" i="2"/>
  <c r="M487" i="2"/>
  <c r="J487" i="2"/>
  <c r="L487" i="2" s="1"/>
  <c r="I487" i="2"/>
  <c r="M486" i="2"/>
  <c r="J486" i="2"/>
  <c r="L486" i="2" s="1"/>
  <c r="I486" i="2"/>
  <c r="M485" i="2"/>
  <c r="J485" i="2"/>
  <c r="L485" i="2" s="1"/>
  <c r="I485" i="2"/>
  <c r="M484" i="2"/>
  <c r="J484" i="2"/>
  <c r="L484" i="2" s="1"/>
  <c r="I484" i="2"/>
  <c r="M483" i="2"/>
  <c r="J483" i="2"/>
  <c r="L483" i="2" s="1"/>
  <c r="I483" i="2"/>
  <c r="M482" i="2"/>
  <c r="I482" i="2"/>
  <c r="J482" i="2"/>
  <c r="L482" i="2" s="1"/>
  <c r="M481" i="2"/>
  <c r="J481" i="2"/>
  <c r="I481" i="2"/>
  <c r="M480" i="2"/>
  <c r="J480" i="2"/>
  <c r="L480" i="2" s="1"/>
  <c r="I480" i="2"/>
  <c r="M479" i="2"/>
  <c r="J479" i="2"/>
  <c r="L479" i="2" s="1"/>
  <c r="I479" i="2"/>
  <c r="I478" i="2"/>
  <c r="M478" i="2"/>
  <c r="J478" i="2"/>
  <c r="L478" i="2" s="1"/>
  <c r="I477" i="2"/>
  <c r="M477" i="2"/>
  <c r="J477" i="2"/>
  <c r="L477" i="2" s="1"/>
  <c r="J476" i="2"/>
  <c r="L476" i="2" s="1"/>
  <c r="M476" i="2"/>
  <c r="I476" i="2"/>
  <c r="J475" i="2"/>
  <c r="L475" i="2" s="1"/>
  <c r="I475" i="2"/>
  <c r="M475" i="2"/>
  <c r="J474" i="2"/>
  <c r="L474" i="2" s="1"/>
  <c r="I474" i="2"/>
  <c r="M474" i="2"/>
  <c r="M473" i="2"/>
  <c r="J473" i="2"/>
  <c r="I473" i="2"/>
  <c r="M472" i="2"/>
  <c r="J472" i="2"/>
  <c r="L472" i="2" s="1"/>
  <c r="I472" i="2"/>
  <c r="M471" i="2"/>
  <c r="J471" i="2"/>
  <c r="L471" i="2" s="1"/>
  <c r="I471" i="2"/>
  <c r="J470" i="2"/>
  <c r="L470" i="2" s="1"/>
  <c r="I470" i="2"/>
  <c r="M470" i="2"/>
  <c r="J469" i="2"/>
  <c r="L469" i="2" s="1"/>
  <c r="I469" i="2"/>
  <c r="M469" i="2"/>
  <c r="M468" i="2"/>
  <c r="J468" i="2"/>
  <c r="L468" i="2" s="1"/>
  <c r="I468" i="2"/>
  <c r="M467" i="2"/>
  <c r="J467" i="2"/>
  <c r="L467" i="2" s="1"/>
  <c r="I467" i="2"/>
  <c r="M466" i="2"/>
  <c r="J466" i="2"/>
  <c r="L466" i="2" s="1"/>
  <c r="I466" i="2"/>
  <c r="M465" i="2"/>
  <c r="J465" i="2"/>
  <c r="L465" i="2" s="1"/>
  <c r="I465" i="2"/>
  <c r="M464" i="2"/>
  <c r="J464" i="2"/>
  <c r="L464" i="2" s="1"/>
  <c r="I464" i="2"/>
  <c r="M463" i="2"/>
  <c r="J463" i="2"/>
  <c r="I463" i="2"/>
  <c r="J462" i="2"/>
  <c r="L462" i="2" s="1"/>
  <c r="I462" i="2"/>
  <c r="M462" i="2"/>
  <c r="M461" i="2"/>
  <c r="J461" i="2"/>
  <c r="L461" i="2" s="1"/>
  <c r="I461" i="2"/>
  <c r="M460" i="2"/>
  <c r="J460" i="2"/>
  <c r="L460" i="2" s="1"/>
  <c r="I460" i="2"/>
  <c r="M459" i="2"/>
  <c r="J459" i="2"/>
  <c r="L459" i="2" s="1"/>
  <c r="I459" i="2"/>
  <c r="M458" i="2"/>
  <c r="J458" i="2"/>
  <c r="L458" i="2" s="1"/>
  <c r="I458" i="2"/>
  <c r="M457" i="2"/>
  <c r="J457" i="2"/>
  <c r="L457" i="2" s="1"/>
  <c r="I457" i="2"/>
  <c r="I456" i="2"/>
  <c r="J456" i="2"/>
  <c r="L456" i="2" s="1"/>
  <c r="M456" i="2"/>
  <c r="I455" i="2"/>
  <c r="J455" i="2"/>
  <c r="L455" i="2" s="1"/>
  <c r="M455" i="2"/>
  <c r="M454" i="2"/>
  <c r="I454" i="2"/>
  <c r="J454" i="2"/>
  <c r="L454" i="2" s="1"/>
  <c r="M453" i="2"/>
  <c r="I453" i="2"/>
  <c r="J453" i="2"/>
  <c r="J452" i="2"/>
  <c r="L452" i="2" s="1"/>
  <c r="M452" i="2"/>
  <c r="I452" i="2"/>
  <c r="M451" i="2"/>
  <c r="J451" i="2"/>
  <c r="I451" i="2"/>
  <c r="M450" i="2"/>
  <c r="J450" i="2"/>
  <c r="L450" i="2" s="1"/>
  <c r="I450" i="2"/>
  <c r="M449" i="2"/>
  <c r="J449" i="2"/>
  <c r="L449" i="2" s="1"/>
  <c r="I449" i="2"/>
  <c r="M448" i="2"/>
  <c r="J448" i="2"/>
  <c r="L448" i="2" s="1"/>
  <c r="I448" i="2"/>
  <c r="M447" i="2"/>
  <c r="J447" i="2"/>
  <c r="L447" i="2" s="1"/>
  <c r="I447" i="2"/>
  <c r="M446" i="2"/>
  <c r="J446" i="2"/>
  <c r="L446" i="2" s="1"/>
  <c r="I446" i="2"/>
  <c r="M445" i="2"/>
  <c r="J445" i="2"/>
  <c r="L445" i="2" s="1"/>
  <c r="I445" i="2"/>
  <c r="M444" i="2"/>
  <c r="J444" i="2"/>
  <c r="I444" i="2"/>
  <c r="J443" i="2"/>
  <c r="L443" i="2" s="1"/>
  <c r="I443" i="2"/>
  <c r="M443" i="2"/>
  <c r="J442" i="2"/>
  <c r="L442" i="2" s="1"/>
  <c r="I442" i="2"/>
  <c r="M442" i="2"/>
  <c r="J441" i="2"/>
  <c r="I441" i="2"/>
  <c r="M441" i="2"/>
  <c r="M440" i="2"/>
  <c r="J440" i="2"/>
  <c r="L440" i="2" s="1"/>
  <c r="I440" i="2"/>
  <c r="M439" i="2"/>
  <c r="J439" i="2"/>
  <c r="L439" i="2" s="1"/>
  <c r="I439" i="2"/>
  <c r="M438" i="2"/>
  <c r="J438" i="2"/>
  <c r="I438" i="2"/>
  <c r="M437" i="2"/>
  <c r="I437" i="2"/>
  <c r="J437" i="2"/>
  <c r="J436" i="2"/>
  <c r="L436" i="2" s="1"/>
  <c r="I436" i="2"/>
  <c r="M436" i="2"/>
  <c r="I435" i="2"/>
  <c r="J435" i="2"/>
  <c r="L435" i="2" s="1"/>
  <c r="M435" i="2"/>
  <c r="M434" i="2"/>
  <c r="I434" i="2"/>
  <c r="J434" i="2"/>
  <c r="L434" i="2" s="1"/>
  <c r="M433" i="2"/>
  <c r="I433" i="2"/>
  <c r="J433" i="2"/>
  <c r="L433" i="2" s="1"/>
  <c r="J432" i="2"/>
  <c r="I432" i="2"/>
  <c r="M432" i="2"/>
  <c r="I431" i="2"/>
  <c r="J431" i="2"/>
  <c r="M431" i="2"/>
  <c r="I430" i="2"/>
  <c r="J430" i="2"/>
  <c r="M430" i="2"/>
  <c r="I429" i="2"/>
  <c r="J429" i="2"/>
  <c r="L429" i="2" s="1"/>
  <c r="M429" i="2"/>
  <c r="J428" i="2"/>
  <c r="L428" i="2" s="1"/>
  <c r="I428" i="2"/>
  <c r="M428" i="2"/>
  <c r="I427" i="2"/>
  <c r="J427" i="2"/>
  <c r="L427" i="2" s="1"/>
  <c r="M427" i="2"/>
  <c r="M426" i="2"/>
  <c r="J426" i="2"/>
  <c r="L426" i="2" s="1"/>
  <c r="I426" i="2"/>
  <c r="M425" i="2"/>
  <c r="I425" i="2"/>
  <c r="J425" i="2"/>
  <c r="L425" i="2" s="1"/>
  <c r="M424" i="2"/>
  <c r="J424" i="2"/>
  <c r="L424" i="2" s="1"/>
  <c r="I424" i="2"/>
  <c r="M423" i="2"/>
  <c r="I423" i="2"/>
  <c r="J423" i="2"/>
  <c r="L423" i="2" s="1"/>
  <c r="M422" i="2"/>
  <c r="J422" i="2"/>
  <c r="L422" i="2" s="1"/>
  <c r="I422" i="2"/>
  <c r="M421" i="2"/>
  <c r="J421" i="2"/>
  <c r="L421" i="2" s="1"/>
  <c r="I421" i="2"/>
  <c r="M420" i="2"/>
  <c r="J420" i="2"/>
  <c r="L420" i="2" s="1"/>
  <c r="I420" i="2"/>
  <c r="M419" i="2"/>
  <c r="J419" i="2"/>
  <c r="L419" i="2" s="1"/>
  <c r="I419" i="2"/>
  <c r="M418" i="2"/>
  <c r="J418" i="2"/>
  <c r="L418" i="2" s="1"/>
  <c r="I418" i="2"/>
  <c r="M417" i="2"/>
  <c r="J417" i="2"/>
  <c r="L417" i="2" s="1"/>
  <c r="I417" i="2"/>
  <c r="M416" i="2"/>
  <c r="J416" i="2"/>
  <c r="L416" i="2" s="1"/>
  <c r="I416" i="2"/>
  <c r="M415" i="2"/>
  <c r="J415" i="2"/>
  <c r="L415" i="2" s="1"/>
  <c r="I415" i="2"/>
  <c r="M414" i="2"/>
  <c r="J414" i="2"/>
  <c r="L414" i="2" s="1"/>
  <c r="I414" i="2"/>
  <c r="M413" i="2"/>
  <c r="J413" i="2"/>
  <c r="I413" i="2"/>
  <c r="M412" i="2"/>
  <c r="J412" i="2"/>
  <c r="L412" i="2" s="1"/>
  <c r="I412" i="2"/>
  <c r="M410" i="2"/>
  <c r="J410" i="2"/>
  <c r="L410" i="2" s="1"/>
  <c r="I410" i="2"/>
  <c r="M409" i="2"/>
  <c r="J409" i="2"/>
  <c r="L409" i="2" s="1"/>
  <c r="I409" i="2"/>
  <c r="M408" i="2"/>
  <c r="J408" i="2"/>
  <c r="L408" i="2" s="1"/>
  <c r="I408" i="2"/>
  <c r="M407" i="2"/>
  <c r="J407" i="2"/>
  <c r="L407" i="2" s="1"/>
  <c r="I407" i="2"/>
  <c r="M406" i="2"/>
  <c r="J406" i="2"/>
  <c r="L406" i="2" s="1"/>
  <c r="I406" i="2"/>
  <c r="M405" i="2"/>
  <c r="J405" i="2"/>
  <c r="L405" i="2" s="1"/>
  <c r="I405" i="2"/>
  <c r="M404" i="2"/>
  <c r="J404" i="2"/>
  <c r="L404" i="2" s="1"/>
  <c r="I404" i="2"/>
  <c r="M403" i="2"/>
  <c r="J403" i="2"/>
  <c r="I403" i="2"/>
  <c r="M402" i="2"/>
  <c r="J402" i="2"/>
  <c r="L402" i="2" s="1"/>
  <c r="I402" i="2"/>
  <c r="M401" i="2"/>
  <c r="J401" i="2"/>
  <c r="L401" i="2" s="1"/>
  <c r="I401" i="2"/>
  <c r="M400" i="2"/>
  <c r="J400" i="2"/>
  <c r="L400" i="2" s="1"/>
  <c r="I400" i="2"/>
  <c r="M399" i="2"/>
  <c r="J399" i="2"/>
  <c r="L399" i="2" s="1"/>
  <c r="I399" i="2"/>
  <c r="M398" i="2"/>
  <c r="J398" i="2"/>
  <c r="L398" i="2" s="1"/>
  <c r="I398" i="2"/>
  <c r="M397" i="2"/>
  <c r="J397" i="2"/>
  <c r="L397" i="2" s="1"/>
  <c r="I397" i="2"/>
  <c r="M396" i="2"/>
  <c r="J396" i="2"/>
  <c r="L396" i="2" s="1"/>
  <c r="I396" i="2"/>
  <c r="I395" i="2"/>
  <c r="M395" i="2"/>
  <c r="J395" i="2"/>
  <c r="L395" i="2" s="1"/>
  <c r="M394" i="2"/>
  <c r="J394" i="2"/>
  <c r="L394" i="2" s="1"/>
  <c r="I394" i="2"/>
  <c r="M393" i="2"/>
  <c r="J393" i="2"/>
  <c r="L393" i="2" s="1"/>
  <c r="I393" i="2"/>
  <c r="I392" i="2"/>
  <c r="M392" i="2"/>
  <c r="J392" i="2"/>
  <c r="L392" i="2" s="1"/>
  <c r="M391" i="2"/>
  <c r="J391" i="2"/>
  <c r="L391" i="2" s="1"/>
  <c r="I391" i="2"/>
  <c r="M390" i="2"/>
  <c r="J390" i="2"/>
  <c r="L390" i="2" s="1"/>
  <c r="I390" i="2"/>
  <c r="M389" i="2"/>
  <c r="J389" i="2"/>
  <c r="L389" i="2" s="1"/>
  <c r="I389" i="2"/>
  <c r="I388" i="2"/>
  <c r="M388" i="2"/>
  <c r="J388" i="2"/>
  <c r="L388" i="2" s="1"/>
  <c r="M387" i="2"/>
  <c r="J387" i="2"/>
  <c r="L387" i="2" s="1"/>
  <c r="I387" i="2"/>
  <c r="M386" i="2"/>
  <c r="J386" i="2"/>
  <c r="L386" i="2" s="1"/>
  <c r="I386" i="2"/>
  <c r="I385" i="2"/>
  <c r="M385" i="2"/>
  <c r="J385" i="2"/>
  <c r="L385" i="2" s="1"/>
  <c r="M384" i="2"/>
  <c r="J384" i="2"/>
  <c r="I384" i="2"/>
  <c r="I383" i="2"/>
  <c r="M383" i="2"/>
  <c r="J383" i="2"/>
  <c r="L383" i="2" s="1"/>
  <c r="M382" i="2"/>
  <c r="J382" i="2"/>
  <c r="L382" i="2" s="1"/>
  <c r="I382" i="2"/>
  <c r="M381" i="2"/>
  <c r="J381" i="2"/>
  <c r="L381" i="2" s="1"/>
  <c r="I381" i="2"/>
  <c r="M380" i="2"/>
  <c r="J380" i="2"/>
  <c r="I380" i="2"/>
  <c r="M379" i="2"/>
  <c r="J379" i="2"/>
  <c r="I379" i="2"/>
  <c r="M378" i="2"/>
  <c r="J378" i="2"/>
  <c r="L378" i="2" s="1"/>
  <c r="I378" i="2"/>
  <c r="M377" i="2"/>
  <c r="J377" i="2"/>
  <c r="L377" i="2" s="1"/>
  <c r="I377" i="2"/>
  <c r="M376" i="2"/>
  <c r="J376" i="2"/>
  <c r="L376" i="2" s="1"/>
  <c r="I376" i="2"/>
  <c r="M375" i="2"/>
  <c r="J375" i="2"/>
  <c r="I375" i="2"/>
  <c r="M374" i="2"/>
  <c r="J374" i="2"/>
  <c r="L374" i="2" s="1"/>
  <c r="I374" i="2"/>
  <c r="M373" i="2"/>
  <c r="J373" i="2"/>
  <c r="L373" i="2" s="1"/>
  <c r="I373" i="2"/>
  <c r="I372" i="2"/>
  <c r="M372" i="2"/>
  <c r="J372" i="2"/>
  <c r="L372" i="2" s="1"/>
  <c r="M371" i="2"/>
  <c r="J371" i="2"/>
  <c r="L371" i="2" s="1"/>
  <c r="I371" i="2"/>
  <c r="M370" i="2"/>
  <c r="J370" i="2"/>
  <c r="L370" i="2" s="1"/>
  <c r="I370" i="2"/>
  <c r="J369" i="2"/>
  <c r="L369" i="2" s="1"/>
  <c r="I369" i="2"/>
  <c r="M369" i="2"/>
  <c r="I368" i="2"/>
  <c r="M368" i="2"/>
  <c r="J368" i="2"/>
  <c r="L368" i="2" s="1"/>
  <c r="M367" i="2"/>
  <c r="I367" i="2"/>
  <c r="J367" i="2"/>
  <c r="L367" i="2" s="1"/>
  <c r="I366" i="2"/>
  <c r="M366" i="2"/>
  <c r="J366" i="2"/>
  <c r="L366" i="2" s="1"/>
  <c r="M365" i="2"/>
  <c r="J365" i="2"/>
  <c r="L365" i="2" s="1"/>
  <c r="I365" i="2"/>
  <c r="M364" i="2"/>
  <c r="J364" i="2"/>
  <c r="L364" i="2" s="1"/>
  <c r="I364" i="2"/>
  <c r="J363" i="2"/>
  <c r="L363" i="2" s="1"/>
  <c r="I363" i="2"/>
  <c r="M363" i="2"/>
  <c r="M362" i="2"/>
  <c r="I362" i="2"/>
  <c r="J362" i="2"/>
  <c r="L362" i="2" s="1"/>
  <c r="I361" i="2"/>
  <c r="J361" i="2"/>
  <c r="L361" i="2" s="1"/>
  <c r="M361" i="2"/>
  <c r="I360" i="2"/>
  <c r="J360" i="2"/>
  <c r="L360" i="2" s="1"/>
  <c r="M360" i="2"/>
  <c r="I359" i="2"/>
  <c r="J359" i="2"/>
  <c r="M359" i="2"/>
  <c r="I358" i="2"/>
  <c r="M358" i="2"/>
  <c r="J358" i="2"/>
  <c r="I357" i="2"/>
  <c r="J357" i="2"/>
  <c r="L357" i="2" s="1"/>
  <c r="M357" i="2"/>
  <c r="M356" i="2"/>
  <c r="J356" i="2"/>
  <c r="L356" i="2" s="1"/>
  <c r="I356" i="2"/>
  <c r="I355" i="2"/>
  <c r="J355" i="2"/>
  <c r="L355" i="2" s="1"/>
  <c r="M355" i="2"/>
  <c r="I354" i="2"/>
  <c r="J354" i="2"/>
  <c r="L354" i="2" s="1"/>
  <c r="M354" i="2"/>
  <c r="I353" i="2"/>
  <c r="M353" i="2"/>
  <c r="J353" i="2"/>
  <c r="L353" i="2" s="1"/>
  <c r="M352" i="2"/>
  <c r="J352" i="2"/>
  <c r="L352" i="2" s="1"/>
  <c r="I352" i="2"/>
  <c r="I351" i="2"/>
  <c r="J351" i="2"/>
  <c r="L351" i="2" s="1"/>
  <c r="M351" i="2"/>
  <c r="M350" i="2"/>
  <c r="J350" i="2"/>
  <c r="L350" i="2" s="1"/>
  <c r="I350" i="2"/>
  <c r="M349" i="2"/>
  <c r="J349" i="2"/>
  <c r="L349" i="2" s="1"/>
  <c r="I349" i="2"/>
  <c r="M348" i="2"/>
  <c r="J348" i="2"/>
  <c r="L348" i="2" s="1"/>
  <c r="I348" i="2"/>
  <c r="I347" i="2"/>
  <c r="J347" i="2"/>
  <c r="L347" i="2" s="1"/>
  <c r="M347" i="2"/>
  <c r="M346" i="2"/>
  <c r="J346" i="2"/>
  <c r="L346" i="2" s="1"/>
  <c r="I346" i="2"/>
  <c r="M345" i="2"/>
  <c r="J345" i="2"/>
  <c r="L345" i="2" s="1"/>
  <c r="I345" i="2"/>
  <c r="J344" i="2"/>
  <c r="L344" i="2" s="1"/>
  <c r="I344" i="2"/>
  <c r="M344" i="2"/>
  <c r="M343" i="2"/>
  <c r="J343" i="2"/>
  <c r="L343" i="2" s="1"/>
  <c r="I343" i="2"/>
  <c r="M342" i="2"/>
  <c r="J342" i="2"/>
  <c r="L342" i="2" s="1"/>
  <c r="I342" i="2"/>
  <c r="I341" i="2"/>
  <c r="J341" i="2"/>
  <c r="L341" i="2" s="1"/>
  <c r="M341" i="2"/>
  <c r="M340" i="2"/>
  <c r="J340" i="2"/>
  <c r="L340" i="2" s="1"/>
  <c r="I340" i="2"/>
  <c r="I339" i="2"/>
  <c r="M339" i="2"/>
  <c r="J339" i="2"/>
  <c r="L339" i="2" s="1"/>
  <c r="J338" i="2"/>
  <c r="L338" i="2" s="1"/>
  <c r="I338" i="2"/>
  <c r="M338" i="2"/>
  <c r="I337" i="2"/>
  <c r="M337" i="2"/>
  <c r="J337" i="2"/>
  <c r="L337" i="2" s="1"/>
  <c r="M336" i="2"/>
  <c r="J336" i="2"/>
  <c r="L336" i="2" s="1"/>
  <c r="I336" i="2"/>
  <c r="J335" i="2"/>
  <c r="L335" i="2" s="1"/>
  <c r="I335" i="2"/>
  <c r="M335" i="2"/>
  <c r="I334" i="2"/>
  <c r="J334" i="2"/>
  <c r="L334" i="2" s="1"/>
  <c r="M334" i="2"/>
  <c r="M333" i="2"/>
  <c r="I333" i="2"/>
  <c r="J333" i="2"/>
  <c r="L333" i="2" s="1"/>
  <c r="J332" i="2"/>
  <c r="L332" i="2" s="1"/>
  <c r="I332" i="2"/>
  <c r="M332" i="2"/>
  <c r="I331" i="2"/>
  <c r="J331" i="2"/>
  <c r="M331" i="2"/>
  <c r="I330" i="2"/>
  <c r="J330" i="2"/>
  <c r="M330" i="2"/>
  <c r="I329" i="2"/>
  <c r="J329" i="2"/>
  <c r="L329" i="2" s="1"/>
  <c r="M329" i="2"/>
  <c r="M328" i="2"/>
  <c r="J328" i="2"/>
  <c r="L328" i="2" s="1"/>
  <c r="I328" i="2"/>
  <c r="M327" i="2"/>
  <c r="J327" i="2"/>
  <c r="L327" i="2" s="1"/>
  <c r="I327" i="2"/>
  <c r="J326" i="2"/>
  <c r="L326" i="2" s="1"/>
  <c r="I326" i="2"/>
  <c r="M326" i="2"/>
  <c r="M325" i="2"/>
  <c r="J325" i="2"/>
  <c r="L325" i="2" s="1"/>
  <c r="I325" i="2"/>
  <c r="M324" i="2"/>
  <c r="J324" i="2"/>
  <c r="L324" i="2" s="1"/>
  <c r="I324" i="2"/>
  <c r="I323" i="2"/>
  <c r="J323" i="2"/>
  <c r="L323" i="2" s="1"/>
  <c r="M323" i="2"/>
  <c r="J322" i="2"/>
  <c r="L322" i="2" s="1"/>
  <c r="M322" i="2"/>
  <c r="I322" i="2"/>
  <c r="J321" i="2"/>
  <c r="L321" i="2" s="1"/>
  <c r="M321" i="2"/>
  <c r="I321" i="2"/>
  <c r="M320" i="2"/>
  <c r="J320" i="2"/>
  <c r="L320" i="2" s="1"/>
  <c r="I320" i="2"/>
  <c r="M319" i="2"/>
  <c r="J319" i="2"/>
  <c r="I319" i="2"/>
  <c r="I318" i="2"/>
  <c r="M318" i="2"/>
  <c r="J318" i="2"/>
  <c r="L318" i="2" s="1"/>
  <c r="M317" i="2"/>
  <c r="J317" i="2"/>
  <c r="I317" i="2"/>
  <c r="I316" i="2"/>
  <c r="M316" i="2"/>
  <c r="J316" i="2"/>
  <c r="L316" i="2" s="1"/>
  <c r="I315" i="2"/>
  <c r="M315" i="2"/>
  <c r="J315" i="2"/>
  <c r="L315" i="2" s="1"/>
  <c r="J314" i="2"/>
  <c r="M314" i="2"/>
  <c r="I314" i="2"/>
  <c r="J313" i="2"/>
  <c r="L313" i="2" s="1"/>
  <c r="I313" i="2"/>
  <c r="M313" i="2"/>
  <c r="I312" i="2"/>
  <c r="J312" i="2"/>
  <c r="M312" i="2"/>
  <c r="J311" i="2"/>
  <c r="L311" i="2" s="1"/>
  <c r="M311" i="2"/>
  <c r="I311" i="2"/>
  <c r="M310" i="2"/>
  <c r="I310" i="2"/>
  <c r="J310" i="2"/>
  <c r="L310" i="2" s="1"/>
  <c r="I309" i="2"/>
  <c r="J309" i="2"/>
  <c r="L309" i="2" s="1"/>
  <c r="M309" i="2"/>
  <c r="M308" i="2"/>
  <c r="J308" i="2"/>
  <c r="L308" i="2" s="1"/>
  <c r="I308" i="2"/>
  <c r="M307" i="2"/>
  <c r="J307" i="2"/>
  <c r="L307" i="2" s="1"/>
  <c r="I307" i="2"/>
  <c r="J306" i="2"/>
  <c r="L306" i="2" s="1"/>
  <c r="I306" i="2"/>
  <c r="M306" i="2"/>
  <c r="M305" i="2"/>
  <c r="J305" i="2"/>
  <c r="L305" i="2" s="1"/>
  <c r="I305" i="2"/>
  <c r="M304" i="2"/>
  <c r="J304" i="2"/>
  <c r="L304" i="2" s="1"/>
  <c r="I304" i="2"/>
  <c r="I303" i="2"/>
  <c r="J303" i="2"/>
  <c r="M303" i="2"/>
  <c r="I302" i="2"/>
  <c r="J302" i="2"/>
  <c r="L302" i="2" s="1"/>
  <c r="M302" i="2"/>
  <c r="I301" i="2"/>
  <c r="J301" i="2"/>
  <c r="L301" i="2" s="1"/>
  <c r="M301" i="2"/>
  <c r="I300" i="2"/>
  <c r="M300" i="2"/>
  <c r="J300" i="2"/>
  <c r="L300" i="2" s="1"/>
  <c r="J299" i="2"/>
  <c r="M299" i="2"/>
  <c r="I299" i="2"/>
  <c r="M298" i="2"/>
  <c r="J298" i="2"/>
  <c r="L298" i="2" s="1"/>
  <c r="I298" i="2"/>
  <c r="J297" i="2"/>
  <c r="L297" i="2" s="1"/>
  <c r="M297" i="2"/>
  <c r="I297" i="2"/>
  <c r="M296" i="2"/>
  <c r="I296" i="2"/>
  <c r="J296" i="2"/>
  <c r="L296" i="2" s="1"/>
  <c r="M295" i="2"/>
  <c r="J295" i="2"/>
  <c r="L295" i="2" s="1"/>
  <c r="I295" i="2"/>
  <c r="M294" i="2"/>
  <c r="J294" i="2"/>
  <c r="L294" i="2" s="1"/>
  <c r="I294" i="2"/>
  <c r="I293" i="2"/>
  <c r="M293" i="2"/>
  <c r="J293" i="2"/>
  <c r="L293" i="2" s="1"/>
  <c r="M292" i="2"/>
  <c r="J292" i="2"/>
  <c r="L292" i="2" s="1"/>
  <c r="I292" i="2"/>
  <c r="J291" i="2"/>
  <c r="L291" i="2" s="1"/>
  <c r="I291" i="2"/>
  <c r="M291" i="2"/>
  <c r="M290" i="2"/>
  <c r="J290" i="2"/>
  <c r="L290" i="2" s="1"/>
  <c r="I290" i="2"/>
  <c r="M289" i="2"/>
  <c r="I289" i="2"/>
  <c r="J289" i="2"/>
  <c r="L289" i="2" s="1"/>
  <c r="I288" i="2"/>
  <c r="J288" i="2"/>
  <c r="L288" i="2" s="1"/>
  <c r="M288" i="2"/>
  <c r="I287" i="2"/>
  <c r="J287" i="2"/>
  <c r="M287" i="2"/>
  <c r="I286" i="2"/>
  <c r="M286" i="2"/>
  <c r="J286" i="2"/>
  <c r="L286" i="2" s="1"/>
  <c r="I285" i="2"/>
  <c r="M285" i="2"/>
  <c r="J285" i="2"/>
  <c r="L285" i="2" s="1"/>
  <c r="M284" i="2"/>
  <c r="J284" i="2"/>
  <c r="L284" i="2" s="1"/>
  <c r="I284" i="2"/>
  <c r="M283" i="2"/>
  <c r="J283" i="2"/>
  <c r="L283" i="2" s="1"/>
  <c r="I283" i="2"/>
  <c r="M282" i="2"/>
  <c r="J282" i="2"/>
  <c r="I282" i="2"/>
  <c r="M281" i="2"/>
  <c r="J281" i="2"/>
  <c r="L281" i="2" s="1"/>
  <c r="I281" i="2"/>
  <c r="M280" i="2"/>
  <c r="J280" i="2"/>
  <c r="L280" i="2" s="1"/>
  <c r="I280" i="2"/>
  <c r="M279" i="2"/>
  <c r="J279" i="2"/>
  <c r="L279" i="2" s="1"/>
  <c r="I279" i="2"/>
  <c r="M278" i="2"/>
  <c r="J278" i="2"/>
  <c r="L278" i="2" s="1"/>
  <c r="I278" i="2"/>
  <c r="M277" i="2"/>
  <c r="J277" i="2"/>
  <c r="L277" i="2" s="1"/>
  <c r="I277" i="2"/>
  <c r="M276" i="2"/>
  <c r="J276" i="2"/>
  <c r="L276" i="2" s="1"/>
  <c r="I276" i="2"/>
  <c r="M274" i="2"/>
  <c r="J274" i="2"/>
  <c r="L274" i="2" s="1"/>
  <c r="I274" i="2"/>
  <c r="M273" i="2"/>
  <c r="J273" i="2"/>
  <c r="I273" i="2"/>
  <c r="M272" i="2"/>
  <c r="J272" i="2"/>
  <c r="L272" i="2" s="1"/>
  <c r="I272" i="2"/>
  <c r="M271" i="2"/>
  <c r="J271" i="2"/>
  <c r="I271" i="2"/>
  <c r="M270" i="2"/>
  <c r="J270" i="2"/>
  <c r="I270" i="2"/>
  <c r="M269" i="2"/>
  <c r="J269" i="2"/>
  <c r="L269" i="2" s="1"/>
  <c r="I269" i="2"/>
  <c r="M268" i="2"/>
  <c r="J268" i="2"/>
  <c r="I268" i="2"/>
  <c r="M267" i="2"/>
  <c r="J267" i="2"/>
  <c r="L267" i="2" s="1"/>
  <c r="I267" i="2"/>
  <c r="M266" i="2"/>
  <c r="J266" i="2"/>
  <c r="L266" i="2" s="1"/>
  <c r="I266" i="2"/>
  <c r="M265" i="2"/>
  <c r="J265" i="2"/>
  <c r="L265" i="2" s="1"/>
  <c r="I265" i="2"/>
  <c r="M264" i="2"/>
  <c r="J264" i="2"/>
  <c r="L264" i="2" s="1"/>
  <c r="I264" i="2"/>
  <c r="M263" i="2"/>
  <c r="J263" i="2"/>
  <c r="L263" i="2" s="1"/>
  <c r="I263" i="2"/>
  <c r="M262" i="2"/>
  <c r="J262" i="2"/>
  <c r="L262" i="2" s="1"/>
  <c r="I262" i="2"/>
  <c r="M261" i="2"/>
  <c r="J261" i="2"/>
  <c r="L261" i="2" s="1"/>
  <c r="I261" i="2"/>
  <c r="M260" i="2"/>
  <c r="J260" i="2"/>
  <c r="L260" i="2" s="1"/>
  <c r="I260" i="2"/>
  <c r="M259" i="2"/>
  <c r="J259" i="2"/>
  <c r="L259" i="2" s="1"/>
  <c r="I259" i="2"/>
  <c r="M258" i="2"/>
  <c r="J258" i="2"/>
  <c r="L258" i="2" s="1"/>
  <c r="I258" i="2"/>
  <c r="M257" i="2"/>
  <c r="I257" i="2"/>
  <c r="J257" i="2"/>
  <c r="M256" i="2"/>
  <c r="I256" i="2"/>
  <c r="J256" i="2"/>
  <c r="L256" i="2" s="1"/>
  <c r="I255" i="2"/>
  <c r="J255" i="2"/>
  <c r="L255" i="2" s="1"/>
  <c r="M255" i="2"/>
  <c r="M254" i="2"/>
  <c r="J254" i="2"/>
  <c r="I254" i="2"/>
  <c r="M253" i="2"/>
  <c r="I253" i="2"/>
  <c r="J253" i="2"/>
  <c r="M252" i="2"/>
  <c r="J252" i="2"/>
  <c r="L252" i="2" s="1"/>
  <c r="I252" i="2"/>
  <c r="M251" i="2"/>
  <c r="J251" i="2"/>
  <c r="I251" i="2"/>
  <c r="M250" i="2"/>
  <c r="I250" i="2"/>
  <c r="J250" i="2"/>
  <c r="L250" i="2" s="1"/>
  <c r="M249" i="2"/>
  <c r="J249" i="2"/>
  <c r="L249" i="2" s="1"/>
  <c r="I249" i="2"/>
  <c r="M248" i="2"/>
  <c r="J248" i="2"/>
  <c r="L248" i="2" s="1"/>
  <c r="I248" i="2"/>
  <c r="J247" i="2"/>
  <c r="M247" i="2"/>
  <c r="I247" i="2"/>
  <c r="M246" i="2"/>
  <c r="I246" i="2"/>
  <c r="J246" i="2"/>
  <c r="M245" i="2"/>
  <c r="J245" i="2"/>
  <c r="I245" i="2"/>
  <c r="M244" i="2"/>
  <c r="J244" i="2"/>
  <c r="I244" i="2"/>
  <c r="I243" i="2"/>
  <c r="M243" i="2"/>
  <c r="J243" i="2"/>
  <c r="L243" i="2" s="1"/>
  <c r="M242" i="2"/>
  <c r="J242" i="2"/>
  <c r="L242" i="2" s="1"/>
  <c r="I242" i="2"/>
  <c r="M241" i="2"/>
  <c r="J241" i="2"/>
  <c r="L241" i="2" s="1"/>
  <c r="I241" i="2"/>
  <c r="I240" i="2"/>
  <c r="M240" i="2"/>
  <c r="J240" i="2"/>
  <c r="L240" i="2" s="1"/>
  <c r="M239" i="2"/>
  <c r="I239" i="2"/>
  <c r="J239" i="2"/>
  <c r="L239" i="2" s="1"/>
  <c r="M238" i="2"/>
  <c r="I238" i="2"/>
  <c r="J238" i="2"/>
  <c r="J237" i="2"/>
  <c r="L237" i="2" s="1"/>
  <c r="I237" i="2"/>
  <c r="M237" i="2"/>
  <c r="I236" i="2"/>
  <c r="J236" i="2"/>
  <c r="L236" i="2" s="1"/>
  <c r="M236" i="2"/>
  <c r="I235" i="2"/>
  <c r="M235" i="2"/>
  <c r="J235" i="2"/>
  <c r="L235" i="2" s="1"/>
  <c r="I234" i="2"/>
  <c r="J234" i="2"/>
  <c r="L234" i="2" s="1"/>
  <c r="M234" i="2"/>
  <c r="M233" i="2"/>
  <c r="I233" i="2"/>
  <c r="J233" i="2"/>
  <c r="L233" i="2" s="1"/>
  <c r="J232" i="2"/>
  <c r="L232" i="2" s="1"/>
  <c r="M232" i="2"/>
  <c r="I232" i="2"/>
  <c r="M231" i="2"/>
  <c r="J231" i="2"/>
  <c r="L231" i="2" s="1"/>
  <c r="I231" i="2"/>
  <c r="I230" i="2"/>
  <c r="J230" i="2"/>
  <c r="L230" i="2" s="1"/>
  <c r="M230" i="2"/>
  <c r="I229" i="2"/>
  <c r="J229" i="2"/>
  <c r="L229" i="2" s="1"/>
  <c r="M229" i="2"/>
  <c r="I228" i="2"/>
  <c r="J228" i="2"/>
  <c r="M228" i="2"/>
  <c r="J227" i="2"/>
  <c r="L227" i="2" s="1"/>
  <c r="I227" i="2"/>
  <c r="M227" i="2"/>
  <c r="I226" i="2"/>
  <c r="J226" i="2"/>
  <c r="L226" i="2" s="1"/>
  <c r="M226" i="2"/>
  <c r="I225" i="2"/>
  <c r="J225" i="2"/>
  <c r="L225" i="2" s="1"/>
  <c r="M225" i="2"/>
  <c r="M224" i="2"/>
  <c r="J224" i="2"/>
  <c r="I224" i="2"/>
  <c r="I223" i="2"/>
  <c r="J223" i="2"/>
  <c r="L223" i="2" s="1"/>
  <c r="M223" i="2"/>
  <c r="I222" i="2"/>
  <c r="J222" i="2"/>
  <c r="M222" i="2"/>
  <c r="M221" i="2"/>
  <c r="J221" i="2"/>
  <c r="L221" i="2" s="1"/>
  <c r="I221" i="2"/>
  <c r="I220" i="2"/>
  <c r="J220" i="2"/>
  <c r="L220" i="2" s="1"/>
  <c r="M220" i="2"/>
  <c r="J219" i="2"/>
  <c r="L219" i="2" s="1"/>
  <c r="M219" i="2"/>
  <c r="I219" i="2"/>
  <c r="I218" i="2"/>
  <c r="J218" i="2"/>
  <c r="M218" i="2"/>
  <c r="I217" i="2"/>
  <c r="J217" i="2"/>
  <c r="L217" i="2" s="1"/>
  <c r="M217" i="2"/>
  <c r="M216" i="2"/>
  <c r="I216" i="2"/>
  <c r="J216" i="2"/>
  <c r="I215" i="2"/>
  <c r="J215" i="2"/>
  <c r="L215" i="2" s="1"/>
  <c r="M215" i="2"/>
  <c r="I214" i="2"/>
  <c r="J214" i="2"/>
  <c r="L214" i="2" s="1"/>
  <c r="M214" i="2"/>
  <c r="M213" i="2"/>
  <c r="J213" i="2"/>
  <c r="L213" i="2" s="1"/>
  <c r="I213" i="2"/>
  <c r="M212" i="2"/>
  <c r="J212" i="2"/>
  <c r="I212" i="2"/>
  <c r="M211" i="2"/>
  <c r="J211" i="2"/>
  <c r="L211" i="2" s="1"/>
  <c r="I211" i="2"/>
  <c r="M210" i="2"/>
  <c r="I210" i="2"/>
  <c r="J210" i="2"/>
  <c r="M209" i="2"/>
  <c r="J209" i="2"/>
  <c r="L209" i="2" s="1"/>
  <c r="I209" i="2"/>
  <c r="I208" i="2"/>
  <c r="M208" i="2"/>
  <c r="J208" i="2"/>
  <c r="L208" i="2" s="1"/>
  <c r="M207" i="2"/>
  <c r="I207" i="2"/>
  <c r="J207" i="2"/>
  <c r="L207" i="2" s="1"/>
  <c r="I206" i="2"/>
  <c r="J206" i="2"/>
  <c r="L206" i="2" s="1"/>
  <c r="M206" i="2"/>
  <c r="J205" i="2"/>
  <c r="L205" i="2" s="1"/>
  <c r="I205" i="2"/>
  <c r="M205" i="2"/>
  <c r="I204" i="2"/>
  <c r="J204" i="2"/>
  <c r="L204" i="2" s="1"/>
  <c r="M204" i="2"/>
  <c r="M203" i="2"/>
  <c r="J203" i="2"/>
  <c r="L203" i="2" s="1"/>
  <c r="I203" i="2"/>
  <c r="J202" i="2"/>
  <c r="L202" i="2" s="1"/>
  <c r="I202" i="2"/>
  <c r="M202" i="2"/>
  <c r="I201" i="2"/>
  <c r="J201" i="2"/>
  <c r="M201" i="2"/>
  <c r="J200" i="2"/>
  <c r="L200" i="2" s="1"/>
  <c r="M200" i="2"/>
  <c r="I200" i="2"/>
  <c r="M199" i="2"/>
  <c r="J199" i="2"/>
  <c r="L199" i="2" s="1"/>
  <c r="I199" i="2"/>
  <c r="M198" i="2"/>
  <c r="J198" i="2"/>
  <c r="L198" i="2" s="1"/>
  <c r="I198" i="2"/>
  <c r="M197" i="2"/>
  <c r="J197" i="2"/>
  <c r="L197" i="2" s="1"/>
  <c r="I197" i="2"/>
  <c r="I196" i="2"/>
  <c r="J196" i="2"/>
  <c r="L196" i="2" s="1"/>
  <c r="M196" i="2"/>
  <c r="I195" i="2"/>
  <c r="J195" i="2"/>
  <c r="L195" i="2" s="1"/>
  <c r="M195" i="2"/>
  <c r="I194" i="2"/>
  <c r="J194" i="2"/>
  <c r="L194" i="2" s="1"/>
  <c r="M194" i="2"/>
  <c r="I193" i="2"/>
  <c r="J193" i="2"/>
  <c r="L193" i="2" s="1"/>
  <c r="M193" i="2"/>
  <c r="J192" i="2"/>
  <c r="L192" i="2" s="1"/>
  <c r="I192" i="2"/>
  <c r="M192" i="2"/>
  <c r="I191" i="2"/>
  <c r="M191" i="2"/>
  <c r="J191" i="2"/>
  <c r="L191" i="2" s="1"/>
  <c r="M190" i="2"/>
  <c r="J190" i="2"/>
  <c r="L190" i="2" s="1"/>
  <c r="I190" i="2"/>
  <c r="M189" i="2"/>
  <c r="J189" i="2"/>
  <c r="L189" i="2" s="1"/>
  <c r="I189" i="2"/>
  <c r="J188" i="2"/>
  <c r="L188" i="2" s="1"/>
  <c r="M188" i="2"/>
  <c r="I188" i="2"/>
  <c r="M187" i="2"/>
  <c r="J187" i="2"/>
  <c r="L187" i="2" s="1"/>
  <c r="I187" i="2"/>
  <c r="J186" i="2"/>
  <c r="L186" i="2" s="1"/>
  <c r="I186" i="2"/>
  <c r="M186" i="2"/>
  <c r="I185" i="2"/>
  <c r="J185" i="2"/>
  <c r="L185" i="2" s="1"/>
  <c r="M185" i="2"/>
  <c r="M184" i="2"/>
  <c r="J184" i="2"/>
  <c r="L184" i="2" s="1"/>
  <c r="I184" i="2"/>
  <c r="M183" i="2"/>
  <c r="I183" i="2"/>
  <c r="J183" i="2"/>
  <c r="M182" i="2"/>
  <c r="J182" i="2"/>
  <c r="I182" i="2"/>
  <c r="J181" i="2"/>
  <c r="L181" i="2" s="1"/>
  <c r="I181" i="2"/>
  <c r="M181" i="2"/>
  <c r="J180" i="2"/>
  <c r="L180" i="2" s="1"/>
  <c r="M180" i="2"/>
  <c r="I180" i="2"/>
  <c r="M179" i="2"/>
  <c r="J179" i="2"/>
  <c r="I179" i="2"/>
  <c r="M178" i="2"/>
  <c r="I178" i="2"/>
  <c r="J178" i="2"/>
  <c r="L178" i="2" s="1"/>
  <c r="J177" i="2"/>
  <c r="I177" i="2"/>
  <c r="M177" i="2"/>
  <c r="M176" i="2"/>
  <c r="J176" i="2"/>
  <c r="L176" i="2" s="1"/>
  <c r="I176" i="2"/>
  <c r="J175" i="2"/>
  <c r="L175" i="2" s="1"/>
  <c r="I175" i="2"/>
  <c r="M175" i="2"/>
  <c r="M174" i="2"/>
  <c r="J174" i="2"/>
  <c r="L174" i="2" s="1"/>
  <c r="I174" i="2"/>
  <c r="J173" i="2"/>
  <c r="L173" i="2" s="1"/>
  <c r="M173" i="2"/>
  <c r="I173" i="2"/>
  <c r="M172" i="2"/>
  <c r="J172" i="2"/>
  <c r="L172" i="2" s="1"/>
  <c r="I172" i="2"/>
  <c r="J171" i="2"/>
  <c r="L171" i="2" s="1"/>
  <c r="I171" i="2"/>
  <c r="M171" i="2"/>
  <c r="M170" i="2"/>
  <c r="J170" i="2"/>
  <c r="L170" i="2" s="1"/>
  <c r="I170" i="2"/>
  <c r="M169" i="2"/>
  <c r="J169" i="2"/>
  <c r="L169" i="2" s="1"/>
  <c r="I169" i="2"/>
  <c r="M168" i="2"/>
  <c r="J168" i="2"/>
  <c r="L168" i="2" s="1"/>
  <c r="I168" i="2"/>
  <c r="M167" i="2"/>
  <c r="J167" i="2"/>
  <c r="I167" i="2"/>
  <c r="M166" i="2"/>
  <c r="J166" i="2"/>
  <c r="L166" i="2" s="1"/>
  <c r="I166" i="2"/>
  <c r="M165" i="2"/>
  <c r="J165" i="2"/>
  <c r="L165" i="2" s="1"/>
  <c r="I165" i="2"/>
  <c r="M164" i="2"/>
  <c r="J164" i="2"/>
  <c r="L164" i="2" s="1"/>
  <c r="I164" i="2"/>
  <c r="M163" i="2"/>
  <c r="J163" i="2"/>
  <c r="L163" i="2" s="1"/>
  <c r="I163" i="2"/>
  <c r="M162" i="2"/>
  <c r="J162" i="2"/>
  <c r="L162" i="2" s="1"/>
  <c r="I162" i="2"/>
  <c r="M161" i="2"/>
  <c r="J161" i="2"/>
  <c r="L161" i="2" s="1"/>
  <c r="I161" i="2"/>
  <c r="J160" i="2"/>
  <c r="L160" i="2" s="1"/>
  <c r="I160" i="2"/>
  <c r="M160" i="2"/>
  <c r="M159" i="2"/>
  <c r="J159" i="2"/>
  <c r="L159" i="2" s="1"/>
  <c r="I159" i="2"/>
  <c r="J158" i="2"/>
  <c r="L158" i="2" s="1"/>
  <c r="I158" i="2"/>
  <c r="M158" i="2"/>
  <c r="J157" i="2"/>
  <c r="L157" i="2" s="1"/>
  <c r="I157" i="2"/>
  <c r="M157" i="2"/>
  <c r="M156" i="2"/>
  <c r="J156" i="2"/>
  <c r="I156" i="2"/>
  <c r="M155" i="2"/>
  <c r="J155" i="2"/>
  <c r="L155" i="2" s="1"/>
  <c r="I155" i="2"/>
  <c r="M154" i="2"/>
  <c r="J154" i="2"/>
  <c r="L154" i="2" s="1"/>
  <c r="I154" i="2"/>
  <c r="M153" i="2"/>
  <c r="J153" i="2"/>
  <c r="L153" i="2" s="1"/>
  <c r="I153" i="2"/>
  <c r="M152" i="2"/>
  <c r="J152" i="2"/>
  <c r="L152" i="2" s="1"/>
  <c r="I152" i="2"/>
  <c r="M151" i="2"/>
  <c r="J151" i="2"/>
  <c r="I151" i="2"/>
  <c r="J150" i="2"/>
  <c r="L150" i="2" s="1"/>
  <c r="M150" i="2"/>
  <c r="I150" i="2"/>
  <c r="M149" i="2"/>
  <c r="J149" i="2"/>
  <c r="L149" i="2" s="1"/>
  <c r="I149" i="2"/>
  <c r="M148" i="2"/>
  <c r="J148" i="2"/>
  <c r="L148" i="2" s="1"/>
  <c r="I148" i="2"/>
  <c r="J147" i="2"/>
  <c r="L147" i="2" s="1"/>
  <c r="I147" i="2"/>
  <c r="M147" i="2"/>
  <c r="I146" i="2"/>
  <c r="J146" i="2"/>
  <c r="M146" i="2"/>
  <c r="J145" i="2"/>
  <c r="L145" i="2" s="1"/>
  <c r="I145" i="2"/>
  <c r="M145" i="2"/>
  <c r="J144" i="2"/>
  <c r="I144" i="2"/>
  <c r="M144" i="2"/>
  <c r="J143" i="2"/>
  <c r="L143" i="2" s="1"/>
  <c r="M143" i="2"/>
  <c r="I143" i="2"/>
  <c r="J142" i="2"/>
  <c r="I142" i="2"/>
  <c r="M142" i="2"/>
  <c r="M141" i="2"/>
  <c r="J141" i="2"/>
  <c r="L141" i="2" s="1"/>
  <c r="I141" i="2"/>
  <c r="M140" i="2"/>
  <c r="J140" i="2"/>
  <c r="L140" i="2" s="1"/>
  <c r="I140" i="2"/>
  <c r="I138" i="2"/>
  <c r="M138" i="2"/>
  <c r="J138" i="2"/>
  <c r="L138" i="2" s="1"/>
  <c r="I137" i="2"/>
  <c r="J137" i="2"/>
  <c r="L137" i="2" s="1"/>
  <c r="M137" i="2"/>
  <c r="I136" i="2"/>
  <c r="J136" i="2"/>
  <c r="L136" i="2" s="1"/>
  <c r="M136" i="2"/>
  <c r="J135" i="2"/>
  <c r="L135" i="2" s="1"/>
  <c r="I135" i="2"/>
  <c r="M135" i="2"/>
  <c r="M134" i="2"/>
  <c r="J134" i="2"/>
  <c r="L134" i="2" s="1"/>
  <c r="I134" i="2"/>
  <c r="M133" i="2"/>
  <c r="J133" i="2"/>
  <c r="L133" i="2" s="1"/>
  <c r="I133" i="2"/>
  <c r="M132" i="2"/>
  <c r="J132" i="2"/>
  <c r="L132" i="2" s="1"/>
  <c r="I132" i="2"/>
  <c r="J131" i="2"/>
  <c r="L131" i="2" s="1"/>
  <c r="M131" i="2"/>
  <c r="I131" i="2"/>
  <c r="I130" i="2"/>
  <c r="J130" i="2"/>
  <c r="L130" i="2" s="1"/>
  <c r="M130" i="2"/>
  <c r="M129" i="2"/>
  <c r="J129" i="2"/>
  <c r="I129" i="2"/>
  <c r="M128" i="2"/>
  <c r="J128" i="2"/>
  <c r="I128" i="2"/>
  <c r="M127" i="2"/>
  <c r="I127" i="2"/>
  <c r="J127" i="2"/>
  <c r="L127" i="2" s="1"/>
  <c r="I126" i="2"/>
  <c r="J126" i="2"/>
  <c r="L126" i="2" s="1"/>
  <c r="M126" i="2"/>
  <c r="M125" i="2"/>
  <c r="J125" i="2"/>
  <c r="L125" i="2" s="1"/>
  <c r="I125" i="2"/>
  <c r="M124" i="2"/>
  <c r="J124" i="2"/>
  <c r="L124" i="2" s="1"/>
  <c r="I124" i="2"/>
  <c r="M123" i="2"/>
  <c r="J123" i="2"/>
  <c r="L123" i="2" s="1"/>
  <c r="I123" i="2"/>
  <c r="I122" i="2"/>
  <c r="J122" i="2"/>
  <c r="L122" i="2" s="1"/>
  <c r="M122" i="2"/>
  <c r="I121" i="2"/>
  <c r="M121" i="2"/>
  <c r="J121" i="2"/>
  <c r="J120" i="2"/>
  <c r="L120" i="2" s="1"/>
  <c r="M120" i="2"/>
  <c r="I120" i="2"/>
  <c r="M119" i="2"/>
  <c r="J119" i="2"/>
  <c r="L119" i="2" s="1"/>
  <c r="I119" i="2"/>
  <c r="M118" i="2"/>
  <c r="J118" i="2"/>
  <c r="I118" i="2"/>
  <c r="I117" i="2"/>
  <c r="J117" i="2"/>
  <c r="M117" i="2"/>
  <c r="I116" i="2"/>
  <c r="M116" i="2"/>
  <c r="J116" i="2"/>
  <c r="L116" i="2" s="1"/>
  <c r="M115" i="2"/>
  <c r="J115" i="2"/>
  <c r="L115" i="2" s="1"/>
  <c r="I115" i="2"/>
  <c r="J114" i="2"/>
  <c r="L114" i="2" s="1"/>
  <c r="M114" i="2"/>
  <c r="I114" i="2"/>
  <c r="M113" i="2"/>
  <c r="I113" i="2"/>
  <c r="J113" i="2"/>
  <c r="L113" i="2" s="1"/>
  <c r="I112" i="2"/>
  <c r="J112" i="2"/>
  <c r="L112" i="2" s="1"/>
  <c r="M112" i="2"/>
  <c r="I111" i="2"/>
  <c r="J111" i="2"/>
  <c r="L111" i="2" s="1"/>
  <c r="M111" i="2"/>
  <c r="I110" i="2"/>
  <c r="J110" i="2"/>
  <c r="L110" i="2" s="1"/>
  <c r="M110" i="2"/>
  <c r="M109" i="2"/>
  <c r="I109" i="2"/>
  <c r="J109" i="2"/>
  <c r="L109" i="2" s="1"/>
  <c r="M108" i="2"/>
  <c r="J108" i="2"/>
  <c r="L108" i="2" s="1"/>
  <c r="I108" i="2"/>
  <c r="M107" i="2"/>
  <c r="J107" i="2"/>
  <c r="I107" i="2"/>
  <c r="M106" i="2"/>
  <c r="J106" i="2"/>
  <c r="I106" i="2"/>
  <c r="I105" i="2"/>
  <c r="M105" i="2"/>
  <c r="J105" i="2"/>
  <c r="L105" i="2" s="1"/>
  <c r="M104" i="2"/>
  <c r="J104" i="2"/>
  <c r="I104" i="2"/>
  <c r="M103" i="2"/>
  <c r="J103" i="2"/>
  <c r="L103" i="2" s="1"/>
  <c r="I103" i="2"/>
  <c r="M102" i="2"/>
  <c r="J102" i="2"/>
  <c r="I102" i="2"/>
  <c r="J101" i="2"/>
  <c r="L101" i="2" s="1"/>
  <c r="M101" i="2"/>
  <c r="I101" i="2"/>
  <c r="M100" i="2"/>
  <c r="J100" i="2"/>
  <c r="L100" i="2" s="1"/>
  <c r="I100" i="2"/>
  <c r="M99" i="2"/>
  <c r="J99" i="2"/>
  <c r="L99" i="2" s="1"/>
  <c r="I99" i="2"/>
  <c r="I98" i="2"/>
  <c r="J98" i="2"/>
  <c r="L98" i="2" s="1"/>
  <c r="M98" i="2"/>
  <c r="I97" i="2"/>
  <c r="J97" i="2"/>
  <c r="M97" i="2"/>
  <c r="J96" i="2"/>
  <c r="L96" i="2" s="1"/>
  <c r="M96" i="2"/>
  <c r="I96" i="2"/>
  <c r="I95" i="2"/>
  <c r="M95" i="2"/>
  <c r="J95" i="2"/>
  <c r="L95" i="2" s="1"/>
  <c r="J94" i="2"/>
  <c r="L94" i="2" s="1"/>
  <c r="M94" i="2"/>
  <c r="I94" i="2"/>
  <c r="I93" i="2"/>
  <c r="J93" i="2"/>
  <c r="L93" i="2" s="1"/>
  <c r="M93" i="2"/>
  <c r="I92" i="2"/>
  <c r="J92" i="2"/>
  <c r="L92" i="2" s="1"/>
  <c r="M92" i="2"/>
  <c r="M91" i="2"/>
  <c r="J91" i="2"/>
  <c r="L91" i="2" s="1"/>
  <c r="I91" i="2"/>
  <c r="J90" i="2"/>
  <c r="L90" i="2" s="1"/>
  <c r="I90" i="2"/>
  <c r="M90" i="2"/>
  <c r="M89" i="2"/>
  <c r="J89" i="2"/>
  <c r="L89" i="2" s="1"/>
  <c r="I89" i="2"/>
  <c r="I88" i="2"/>
  <c r="M88" i="2"/>
  <c r="J88" i="2"/>
  <c r="I87" i="2"/>
  <c r="J87" i="2"/>
  <c r="L87" i="2" s="1"/>
  <c r="M87" i="2"/>
  <c r="I86" i="2"/>
  <c r="J86" i="2"/>
  <c r="L86" i="2" s="1"/>
  <c r="M86" i="2"/>
  <c r="J85" i="2"/>
  <c r="L85" i="2" s="1"/>
  <c r="M85" i="2"/>
  <c r="I85" i="2"/>
  <c r="I84" i="2"/>
  <c r="J84" i="2"/>
  <c r="L84" i="2" s="1"/>
  <c r="M84" i="2"/>
  <c r="J83" i="2"/>
  <c r="L83" i="2" s="1"/>
  <c r="I83" i="2"/>
  <c r="M83" i="2"/>
  <c r="M82" i="2"/>
  <c r="I82" i="2"/>
  <c r="J82" i="2"/>
  <c r="L82" i="2" s="1"/>
  <c r="M81" i="2"/>
  <c r="J81" i="2"/>
  <c r="L81" i="2" s="1"/>
  <c r="I81" i="2"/>
  <c r="J80" i="2"/>
  <c r="M80" i="2"/>
  <c r="I80" i="2"/>
  <c r="M79" i="2"/>
  <c r="J79" i="2"/>
  <c r="L79" i="2" s="1"/>
  <c r="I79" i="2"/>
  <c r="I78" i="2"/>
  <c r="M78" i="2"/>
  <c r="J78" i="2"/>
  <c r="L78" i="2" s="1"/>
  <c r="M77" i="2"/>
  <c r="I77" i="2"/>
  <c r="J77" i="2"/>
  <c r="L77" i="2" s="1"/>
  <c r="M76" i="2"/>
  <c r="J76" i="2"/>
  <c r="L76" i="2" s="1"/>
  <c r="I76" i="2"/>
  <c r="I75" i="2"/>
  <c r="M75" i="2"/>
  <c r="J75" i="2"/>
  <c r="J74" i="2"/>
  <c r="L74" i="2" s="1"/>
  <c r="I74" i="2"/>
  <c r="M74" i="2"/>
  <c r="M73" i="2"/>
  <c r="I73" i="2"/>
  <c r="J73" i="2"/>
  <c r="L73" i="2" s="1"/>
  <c r="I72" i="2"/>
  <c r="J72" i="2"/>
  <c r="M72" i="2"/>
  <c r="I71" i="2"/>
  <c r="J71" i="2"/>
  <c r="L71" i="2" s="1"/>
  <c r="M71" i="2"/>
  <c r="I70" i="2"/>
  <c r="J70" i="2"/>
  <c r="M70" i="2"/>
  <c r="I69" i="2"/>
  <c r="J69" i="2"/>
  <c r="L69" i="2" s="1"/>
  <c r="M69" i="2"/>
  <c r="M68" i="2"/>
  <c r="I68" i="2"/>
  <c r="J68" i="2"/>
  <c r="L68" i="2" s="1"/>
  <c r="M67" i="2"/>
  <c r="I67" i="2"/>
  <c r="J67" i="2"/>
  <c r="L67" i="2" s="1"/>
  <c r="M66" i="2"/>
  <c r="J66" i="2"/>
  <c r="I66" i="2"/>
  <c r="M65" i="2"/>
  <c r="J65" i="2"/>
  <c r="I65" i="2"/>
  <c r="M64" i="2"/>
  <c r="J64" i="2"/>
  <c r="L64" i="2" s="1"/>
  <c r="I64" i="2"/>
  <c r="M63" i="2"/>
  <c r="J63" i="2"/>
  <c r="L63" i="2" s="1"/>
  <c r="I63" i="2"/>
  <c r="M62" i="2"/>
  <c r="J62" i="2"/>
  <c r="L62" i="2" s="1"/>
  <c r="I62" i="2"/>
  <c r="M61" i="2"/>
  <c r="J61" i="2"/>
  <c r="L61" i="2" s="1"/>
  <c r="I61" i="2"/>
  <c r="M60" i="2"/>
  <c r="J60" i="2"/>
  <c r="L60" i="2" s="1"/>
  <c r="I60" i="2"/>
  <c r="M59" i="2"/>
  <c r="J59" i="2"/>
  <c r="I59" i="2"/>
  <c r="M58" i="2"/>
  <c r="J58" i="2"/>
  <c r="L58" i="2" s="1"/>
  <c r="I58" i="2"/>
  <c r="I57" i="2"/>
  <c r="M57" i="2"/>
  <c r="J57" i="2"/>
  <c r="L57" i="2" s="1"/>
  <c r="I56" i="2"/>
  <c r="J56" i="2"/>
  <c r="L56" i="2" s="1"/>
  <c r="M56" i="2"/>
  <c r="M55" i="2"/>
  <c r="J55" i="2"/>
  <c r="L55" i="2" s="1"/>
  <c r="I55" i="2"/>
  <c r="I54" i="2"/>
  <c r="M54" i="2"/>
  <c r="J54" i="2"/>
  <c r="M53" i="2"/>
  <c r="J53" i="2"/>
  <c r="L53" i="2" s="1"/>
  <c r="I53" i="2"/>
  <c r="M52" i="2"/>
  <c r="J52" i="2"/>
  <c r="L52" i="2" s="1"/>
  <c r="I52" i="2"/>
  <c r="M51" i="2"/>
  <c r="J51" i="2"/>
  <c r="L51" i="2" s="1"/>
  <c r="I51" i="2"/>
  <c r="M50" i="2"/>
  <c r="J50" i="2"/>
  <c r="L50" i="2" s="1"/>
  <c r="I50" i="2"/>
  <c r="M49" i="2"/>
  <c r="J49" i="2"/>
  <c r="I49" i="2"/>
  <c r="I48" i="2"/>
  <c r="J48" i="2"/>
  <c r="L48" i="2" s="1"/>
  <c r="M48" i="2"/>
  <c r="M47" i="2"/>
  <c r="J47" i="2"/>
  <c r="L47" i="2" s="1"/>
  <c r="I47" i="2"/>
  <c r="M46" i="2"/>
  <c r="J46" i="2"/>
  <c r="L46" i="2" s="1"/>
  <c r="I46" i="2"/>
  <c r="M45" i="2"/>
  <c r="J45" i="2"/>
  <c r="L45" i="2" s="1"/>
  <c r="I45" i="2"/>
  <c r="J44" i="2"/>
  <c r="L44" i="2" s="1"/>
  <c r="I44" i="2"/>
  <c r="M44" i="2"/>
  <c r="M43" i="2"/>
  <c r="J43" i="2"/>
  <c r="L43" i="2" s="1"/>
  <c r="I43" i="2"/>
  <c r="M42" i="2"/>
  <c r="J42" i="2"/>
  <c r="L42" i="2" s="1"/>
  <c r="I42" i="2"/>
  <c r="M41" i="2"/>
  <c r="I41" i="2"/>
  <c r="J41" i="2"/>
  <c r="L41" i="2" s="1"/>
  <c r="M40" i="2"/>
  <c r="J40" i="2"/>
  <c r="L40" i="2" s="1"/>
  <c r="I40" i="2"/>
  <c r="M39" i="2"/>
  <c r="J39" i="2"/>
  <c r="L39" i="2" s="1"/>
  <c r="I39" i="2"/>
  <c r="I38" i="2"/>
  <c r="J38" i="2"/>
  <c r="L38" i="2" s="1"/>
  <c r="M38" i="2"/>
  <c r="M37" i="2"/>
  <c r="I37" i="2"/>
  <c r="J37" i="2"/>
  <c r="M36" i="2"/>
  <c r="I36" i="2"/>
  <c r="J36" i="2"/>
  <c r="L36" i="2" s="1"/>
  <c r="I35" i="2"/>
  <c r="J35" i="2"/>
  <c r="L35" i="2" s="1"/>
  <c r="M35" i="2"/>
  <c r="M34" i="2"/>
  <c r="I34" i="2"/>
  <c r="J34" i="2"/>
  <c r="L34" i="2" s="1"/>
  <c r="I33" i="2"/>
  <c r="J33" i="2"/>
  <c r="L33" i="2" s="1"/>
  <c r="M33" i="2"/>
  <c r="M32" i="2"/>
  <c r="I32" i="2"/>
  <c r="J32" i="2"/>
  <c r="L32" i="2" s="1"/>
  <c r="M31" i="2"/>
  <c r="I31" i="2"/>
  <c r="J31" i="2"/>
  <c r="L31" i="2" s="1"/>
  <c r="M30" i="2"/>
  <c r="J30" i="2"/>
  <c r="L30" i="2" s="1"/>
  <c r="I30" i="2"/>
  <c r="I29" i="2"/>
  <c r="J29" i="2"/>
  <c r="L29" i="2" s="1"/>
  <c r="M29" i="2"/>
  <c r="I28" i="2"/>
  <c r="J28" i="2"/>
  <c r="M28" i="2"/>
  <c r="M27" i="2"/>
  <c r="J27" i="2"/>
  <c r="L27" i="2" s="1"/>
  <c r="I27" i="2"/>
  <c r="M26" i="2"/>
  <c r="I26" i="2"/>
  <c r="J26" i="2"/>
  <c r="L26" i="2" s="1"/>
  <c r="I25" i="2"/>
  <c r="J25" i="2"/>
  <c r="L25" i="2" s="1"/>
  <c r="M25" i="2"/>
  <c r="I24" i="2"/>
  <c r="J24" i="2"/>
  <c r="L24" i="2" s="1"/>
  <c r="M24" i="2"/>
  <c r="M23" i="2"/>
  <c r="I23" i="2"/>
  <c r="J23" i="2"/>
  <c r="L23" i="2" s="1"/>
  <c r="J22" i="2"/>
  <c r="L22" i="2" s="1"/>
  <c r="M22" i="2"/>
  <c r="I22" i="2"/>
  <c r="I21" i="2"/>
  <c r="J21" i="2"/>
  <c r="L21" i="2" s="1"/>
  <c r="M21" i="2"/>
  <c r="I20" i="2"/>
  <c r="J20" i="2"/>
  <c r="L20" i="2" s="1"/>
  <c r="M20" i="2"/>
  <c r="I19" i="2"/>
  <c r="J19" i="2"/>
  <c r="M19" i="2"/>
  <c r="I18" i="2"/>
  <c r="J18" i="2"/>
  <c r="M18" i="2"/>
  <c r="J17" i="2"/>
  <c r="L17" i="2" s="1"/>
  <c r="I17" i="2"/>
  <c r="M17" i="2"/>
  <c r="I16" i="2"/>
  <c r="J16" i="2"/>
  <c r="L16" i="2" s="1"/>
  <c r="M16" i="2"/>
  <c r="I15" i="2"/>
  <c r="M15" i="2"/>
  <c r="J15" i="2"/>
  <c r="L15" i="2" s="1"/>
  <c r="I14" i="2"/>
  <c r="J14" i="2"/>
  <c r="L14" i="2" s="1"/>
  <c r="M14" i="2"/>
  <c r="M13" i="2"/>
  <c r="J13" i="2"/>
  <c r="I13" i="2"/>
  <c r="M12" i="2"/>
  <c r="J12" i="2"/>
  <c r="L12" i="2" s="1"/>
  <c r="I12" i="2"/>
  <c r="J11" i="2"/>
  <c r="L11" i="2" s="1"/>
  <c r="M11" i="2"/>
  <c r="I11" i="2"/>
  <c r="J10" i="2"/>
  <c r="M10" i="2"/>
  <c r="I10" i="2"/>
  <c r="J9" i="2"/>
  <c r="L9" i="2" s="1"/>
  <c r="M9" i="2"/>
  <c r="I9" i="2"/>
  <c r="J8" i="2"/>
  <c r="L8" i="2" s="1"/>
  <c r="I8" i="2"/>
  <c r="M8" i="2"/>
  <c r="J7" i="2"/>
  <c r="M7" i="2"/>
  <c r="I7" i="2"/>
  <c r="M6" i="2"/>
  <c r="J6" i="2"/>
  <c r="L6" i="2" s="1"/>
  <c r="I6" i="2"/>
  <c r="M5" i="2"/>
  <c r="J5" i="2"/>
  <c r="I5" i="2"/>
  <c r="J4" i="2"/>
  <c r="M4" i="2"/>
  <c r="I4" i="2"/>
  <c r="I3" i="2"/>
  <c r="J3" i="2"/>
  <c r="M3" i="2"/>
  <c r="D206" i="4" l="1"/>
  <c r="J9" i="4"/>
  <c r="E35" i="3"/>
  <c r="C79" i="3"/>
  <c r="D79" i="3"/>
  <c r="E32" i="3"/>
  <c r="C76" i="3"/>
  <c r="D76" i="3"/>
  <c r="L10" i="2"/>
  <c r="D64" i="3"/>
  <c r="D83" i="3"/>
  <c r="C83" i="3"/>
  <c r="F52" i="3"/>
  <c r="C64" i="3"/>
  <c r="E64" i="3"/>
  <c r="E83" i="3"/>
  <c r="E25" i="3"/>
  <c r="E52" i="3"/>
  <c r="L7" i="2"/>
  <c r="C66" i="3"/>
  <c r="E66" i="3"/>
  <c r="F54" i="3"/>
  <c r="D66" i="3"/>
  <c r="L5" i="2"/>
  <c r="D84" i="3"/>
  <c r="E65" i="3"/>
  <c r="F53" i="3"/>
  <c r="C65" i="3"/>
  <c r="C84" i="3"/>
  <c r="E84" i="3"/>
  <c r="F47" i="3"/>
  <c r="D65" i="3"/>
  <c r="E26" i="3"/>
  <c r="E47" i="3"/>
  <c r="E53" i="3"/>
  <c r="E34" i="3"/>
  <c r="D59" i="3"/>
  <c r="D78" i="3"/>
  <c r="C59" i="3"/>
  <c r="C78" i="3"/>
  <c r="L4" i="2"/>
  <c r="C85" i="3"/>
  <c r="D85" i="3"/>
  <c r="E85" i="3"/>
  <c r="E41" i="3"/>
  <c r="E27" i="3"/>
  <c r="E28" i="3"/>
  <c r="E33" i="3"/>
  <c r="E40" i="3"/>
  <c r="E46" i="3"/>
  <c r="E51" i="3"/>
  <c r="F13" i="3"/>
  <c r="D58" i="3"/>
  <c r="E13" i="3"/>
  <c r="G13" i="3"/>
  <c r="D14" i="3"/>
  <c r="E14" i="3"/>
  <c r="F14" i="3"/>
  <c r="G14" i="3"/>
  <c r="C58" i="3"/>
  <c r="F6" i="4"/>
  <c r="D77" i="3"/>
  <c r="C13" i="5"/>
  <c r="C77" i="3"/>
  <c r="D6" i="4"/>
  <c r="C16" i="5"/>
  <c r="C13" i="3"/>
  <c r="D13" i="3"/>
  <c r="C14" i="3"/>
  <c r="J6" i="4"/>
  <c r="C15" i="5"/>
  <c r="L139" i="2"/>
  <c r="L3" i="2"/>
  <c r="G7" i="3"/>
  <c r="D9" i="3"/>
  <c r="E7" i="3"/>
  <c r="E8" i="3"/>
  <c r="D86" i="3"/>
  <c r="B9" i="4"/>
  <c r="C14" i="5"/>
  <c r="F7" i="3"/>
  <c r="D8" i="3"/>
  <c r="F8" i="3"/>
  <c r="F9" i="3"/>
  <c r="G9" i="3"/>
  <c r="E63" i="3"/>
  <c r="C7" i="3"/>
  <c r="G8" i="3"/>
  <c r="E86" i="3"/>
  <c r="D9" i="4"/>
  <c r="F51" i="3"/>
  <c r="C63" i="3"/>
  <c r="D63" i="3"/>
  <c r="C86" i="3"/>
  <c r="F9" i="4"/>
  <c r="D7" i="3"/>
  <c r="C8" i="3"/>
  <c r="C9" i="3"/>
  <c r="E9" i="3"/>
  <c r="F46" i="3"/>
  <c r="D201" i="4"/>
  <c r="E90" i="3"/>
  <c r="B92" i="3"/>
  <c r="C93" i="3"/>
  <c r="D94" i="3"/>
  <c r="B96" i="3"/>
  <c r="C97" i="3"/>
  <c r="C98" i="3"/>
  <c r="D99" i="3"/>
  <c r="E103" i="3"/>
  <c r="C105" i="3"/>
  <c r="D106" i="3"/>
  <c r="E107" i="3"/>
  <c r="B109" i="3"/>
  <c r="D110" i="3"/>
  <c r="E111" i="3"/>
  <c r="E112" i="3"/>
  <c r="E192" i="4"/>
  <c r="C193" i="4"/>
  <c r="C194" i="4"/>
  <c r="I194" i="4"/>
  <c r="G195" i="4"/>
  <c r="D196" i="4"/>
  <c r="J196" i="4"/>
  <c r="G197" i="4"/>
  <c r="D198" i="4"/>
  <c r="H198" i="4"/>
  <c r="I198" i="4"/>
  <c r="J198" i="4"/>
  <c r="G199" i="4"/>
  <c r="I199" i="4"/>
  <c r="E201" i="4"/>
  <c r="B193" i="4"/>
  <c r="I193" i="4"/>
  <c r="G194" i="4"/>
  <c r="H196" i="4"/>
  <c r="C200" i="4"/>
  <c r="G200" i="4"/>
  <c r="J200" i="4"/>
  <c r="G201" i="4"/>
  <c r="B90" i="3"/>
  <c r="D91" i="3"/>
  <c r="D92" i="3"/>
  <c r="C94" i="3"/>
  <c r="C95" i="3"/>
  <c r="D96" i="3"/>
  <c r="E97" i="3"/>
  <c r="E98" i="3"/>
  <c r="C103" i="3"/>
  <c r="E104" i="3"/>
  <c r="B106" i="3"/>
  <c r="C107" i="3"/>
  <c r="E108" i="3"/>
  <c r="B110" i="3"/>
  <c r="D111" i="3"/>
  <c r="D112" i="3"/>
  <c r="B192" i="4"/>
  <c r="J192" i="4"/>
  <c r="G193" i="4"/>
  <c r="D194" i="4"/>
  <c r="C195" i="4"/>
  <c r="I195" i="4"/>
  <c r="E196" i="4"/>
  <c r="B197" i="4"/>
  <c r="I197" i="4"/>
  <c r="B199" i="4"/>
  <c r="B201" i="4"/>
  <c r="C91" i="3"/>
  <c r="E92" i="3"/>
  <c r="B94" i="3"/>
  <c r="D95" i="3"/>
  <c r="B97" i="3"/>
  <c r="D98" i="3"/>
  <c r="E99" i="3"/>
  <c r="C104" i="3"/>
  <c r="D105" i="3"/>
  <c r="B107" i="3"/>
  <c r="C108" i="3"/>
  <c r="D109" i="3"/>
  <c r="B111" i="3"/>
  <c r="C192" i="4"/>
  <c r="I192" i="4"/>
  <c r="H193" i="4"/>
  <c r="E194" i="4"/>
  <c r="B195" i="4"/>
  <c r="H195" i="4"/>
  <c r="C196" i="4"/>
  <c r="C197" i="4"/>
  <c r="J197" i="4"/>
  <c r="D199" i="4"/>
  <c r="D200" i="4"/>
  <c r="H200" i="4"/>
  <c r="J201" i="4"/>
  <c r="D90" i="3"/>
  <c r="B91" i="3"/>
  <c r="C92" i="3"/>
  <c r="D93" i="3"/>
  <c r="E94" i="3"/>
  <c r="E95" i="3"/>
  <c r="E96" i="3"/>
  <c r="B98" i="3"/>
  <c r="C99" i="3"/>
  <c r="D103" i="3"/>
  <c r="D104" i="3"/>
  <c r="E105" i="3"/>
  <c r="E106" i="3"/>
  <c r="B108" i="3"/>
  <c r="C109" i="3"/>
  <c r="C110" i="3"/>
  <c r="C111" i="3"/>
  <c r="B112" i="3"/>
  <c r="D192" i="4"/>
  <c r="D193" i="4"/>
  <c r="J193" i="4"/>
  <c r="H194" i="4"/>
  <c r="D195" i="4"/>
  <c r="J195" i="4"/>
  <c r="G196" i="4"/>
  <c r="D197" i="4"/>
  <c r="H197" i="4"/>
  <c r="C198" i="4"/>
  <c r="G198" i="4"/>
  <c r="E199" i="4"/>
  <c r="H199" i="4"/>
  <c r="J199" i="4"/>
  <c r="C201" i="4"/>
  <c r="G192" i="4"/>
  <c r="E193" i="4"/>
  <c r="B194" i="4"/>
  <c r="J194" i="4"/>
  <c r="E195" i="4"/>
  <c r="B196" i="4"/>
  <c r="I196" i="4"/>
  <c r="E197" i="4"/>
  <c r="B198" i="4"/>
  <c r="E198" i="4"/>
  <c r="C199" i="4"/>
  <c r="E200" i="4"/>
  <c r="I200" i="4"/>
  <c r="I201" i="4"/>
  <c r="C90" i="3"/>
  <c r="E91" i="3"/>
  <c r="B93" i="3"/>
  <c r="E93" i="3"/>
  <c r="B95" i="3"/>
  <c r="C96" i="3"/>
  <c r="D97" i="3"/>
  <c r="B99" i="3"/>
  <c r="B103" i="3"/>
  <c r="B104" i="3"/>
  <c r="B105" i="3"/>
  <c r="C106" i="3"/>
  <c r="D107" i="3"/>
  <c r="D108" i="3"/>
  <c r="E109" i="3"/>
  <c r="E110" i="3"/>
  <c r="C112" i="3"/>
  <c r="H192" i="4"/>
  <c r="B200" i="4"/>
  <c r="H201" i="4"/>
  <c r="L997" i="2"/>
  <c r="L996" i="2"/>
  <c r="L990" i="2"/>
  <c r="L981" i="2"/>
  <c r="L884" i="2"/>
  <c r="L883" i="2"/>
  <c r="L882" i="2"/>
  <c r="L861" i="2"/>
  <c r="L856" i="2"/>
  <c r="L853" i="2"/>
  <c r="L851" i="2"/>
  <c r="L841" i="2"/>
  <c r="L836" i="2"/>
  <c r="L822" i="2"/>
  <c r="L809" i="2"/>
  <c r="L787" i="2"/>
  <c r="L664" i="2"/>
  <c r="L652" i="2"/>
  <c r="L760" i="2"/>
  <c r="L759" i="2"/>
  <c r="L757" i="2"/>
  <c r="L756" i="2"/>
  <c r="L754" i="2"/>
  <c r="L751" i="2"/>
  <c r="L750" i="2"/>
  <c r="L744" i="2"/>
  <c r="L743" i="2"/>
  <c r="L741" i="2"/>
  <c r="L739" i="2"/>
  <c r="L721" i="2"/>
  <c r="L717" i="2"/>
  <c r="L716" i="2"/>
  <c r="L711" i="2"/>
  <c r="L710" i="2"/>
  <c r="L693" i="2"/>
  <c r="L691" i="2"/>
  <c r="L690" i="2"/>
  <c r="L681" i="2"/>
  <c r="L680" i="2"/>
  <c r="L678" i="2"/>
  <c r="L676" i="2"/>
  <c r="L675" i="2"/>
  <c r="L660" i="2"/>
  <c r="L625" i="2"/>
  <c r="L615" i="2"/>
  <c r="L608" i="2"/>
  <c r="L604" i="2"/>
  <c r="L601" i="2"/>
  <c r="L592" i="2"/>
  <c r="L588" i="2"/>
  <c r="L584" i="2"/>
  <c r="L582" i="2"/>
  <c r="L580" i="2"/>
  <c r="L577" i="2"/>
  <c r="L576" i="2"/>
  <c r="L562" i="2"/>
  <c r="L557" i="2"/>
  <c r="L555" i="2"/>
  <c r="L552" i="2"/>
  <c r="L551" i="2"/>
  <c r="L550" i="2"/>
  <c r="L545" i="2"/>
  <c r="L543" i="2"/>
  <c r="L537" i="2"/>
  <c r="L531" i="2"/>
  <c r="L530" i="2"/>
  <c r="L514" i="2"/>
  <c r="L507" i="2"/>
  <c r="L506" i="2"/>
  <c r="L497" i="2"/>
  <c r="L495" i="2"/>
  <c r="L492" i="2"/>
  <c r="L481" i="2"/>
  <c r="L473" i="2"/>
  <c r="L463" i="2"/>
  <c r="L453" i="2"/>
  <c r="L451" i="2"/>
  <c r="L444" i="2"/>
  <c r="L441" i="2"/>
  <c r="L438" i="2"/>
  <c r="L437" i="2"/>
  <c r="L432" i="2"/>
  <c r="L431" i="2"/>
  <c r="L430" i="2"/>
  <c r="L413" i="2"/>
  <c r="L403" i="2"/>
  <c r="L384" i="2"/>
  <c r="L380" i="2"/>
  <c r="L379" i="2"/>
  <c r="L375" i="2"/>
  <c r="L359" i="2"/>
  <c r="L358" i="2"/>
  <c r="L331" i="2"/>
  <c r="L330" i="2"/>
  <c r="L319" i="2"/>
  <c r="L317" i="2"/>
  <c r="L314" i="2"/>
  <c r="L312" i="2"/>
  <c r="L303" i="2"/>
  <c r="L299" i="2"/>
  <c r="L287" i="2"/>
  <c r="L282" i="2"/>
  <c r="L273" i="2"/>
  <c r="L271" i="2"/>
  <c r="L270" i="2"/>
  <c r="L268" i="2"/>
  <c r="L257" i="2"/>
  <c r="L975" i="2"/>
  <c r="L974" i="2"/>
  <c r="L964" i="2"/>
  <c r="L957" i="2"/>
  <c r="L940" i="2"/>
  <c r="L931" i="2"/>
  <c r="L906" i="2"/>
  <c r="L895" i="2"/>
  <c r="L890" i="2"/>
  <c r="L795" i="2"/>
  <c r="L779" i="2"/>
  <c r="L763" i="2"/>
  <c r="L641" i="2"/>
  <c r="L639" i="2"/>
  <c r="L637" i="2"/>
  <c r="L254" i="2"/>
  <c r="L253" i="2"/>
  <c r="L251" i="2"/>
  <c r="L247" i="2"/>
  <c r="L246" i="2"/>
  <c r="L245" i="2"/>
  <c r="L244" i="2"/>
  <c r="L238" i="2"/>
  <c r="L228" i="2"/>
  <c r="L224" i="2"/>
  <c r="L222" i="2"/>
  <c r="L218" i="2"/>
  <c r="L216" i="2"/>
  <c r="L212" i="2"/>
  <c r="L210" i="2"/>
  <c r="L201" i="2"/>
  <c r="L183" i="2"/>
  <c r="L182" i="2"/>
  <c r="L179" i="2"/>
  <c r="L177" i="2"/>
  <c r="L167" i="2"/>
  <c r="L156" i="2"/>
  <c r="L151" i="2"/>
  <c r="L146" i="2"/>
  <c r="L144" i="2"/>
  <c r="L142" i="2"/>
  <c r="L129" i="2"/>
  <c r="L13" i="2"/>
  <c r="E39" i="3"/>
  <c r="L969" i="2"/>
  <c r="L963" i="2"/>
  <c r="L952" i="2"/>
  <c r="L916" i="2"/>
  <c r="L915" i="2"/>
  <c r="L904" i="2"/>
  <c r="L901" i="2"/>
  <c r="L889" i="2"/>
  <c r="L792" i="2"/>
  <c r="L768" i="2"/>
  <c r="L665" i="2"/>
  <c r="L128" i="2"/>
  <c r="L121" i="2"/>
  <c r="L118" i="2"/>
  <c r="L117" i="2"/>
  <c r="L107" i="2"/>
  <c r="L106" i="2"/>
  <c r="L104" i="2"/>
  <c r="L102" i="2"/>
  <c r="L97" i="2"/>
  <c r="L88" i="2"/>
  <c r="L80" i="2"/>
  <c r="L75" i="2"/>
  <c r="L72" i="2"/>
  <c r="L70" i="2"/>
  <c r="L66" i="2"/>
  <c r="L65" i="2"/>
  <c r="L59" i="2"/>
  <c r="L54" i="2"/>
  <c r="L49" i="2"/>
  <c r="L37" i="2"/>
  <c r="L28" i="2"/>
  <c r="L19" i="2"/>
  <c r="L18" i="2"/>
  <c r="E42" i="3"/>
  <c r="E54" i="3"/>
  <c r="L966" i="2"/>
  <c r="L947" i="2"/>
  <c r="L930" i="2"/>
  <c r="L908" i="2"/>
  <c r="L798" i="2"/>
  <c r="L784" i="2"/>
  <c r="L767" i="2"/>
  <c r="L672" i="2"/>
  <c r="L666" i="2"/>
  <c r="L646" i="2"/>
  <c r="C157" i="4" l="1"/>
  <c r="D158" i="4"/>
  <c r="B160" i="4"/>
  <c r="B161" i="4"/>
  <c r="E162" i="4"/>
  <c r="C164" i="4"/>
  <c r="E165" i="4"/>
  <c r="C167" i="4"/>
  <c r="E168" i="4"/>
  <c r="D170" i="4"/>
  <c r="D172" i="4"/>
  <c r="E173" i="4"/>
  <c r="E175" i="4"/>
  <c r="C177" i="4"/>
  <c r="B179" i="4"/>
  <c r="B181" i="4"/>
  <c r="B183" i="4"/>
  <c r="D184" i="4"/>
  <c r="C186" i="4"/>
  <c r="C158" i="4"/>
  <c r="E159" i="4"/>
  <c r="C161" i="4"/>
  <c r="D162" i="4"/>
  <c r="B164" i="4"/>
  <c r="D165" i="4"/>
  <c r="B167" i="4"/>
  <c r="D168" i="4"/>
  <c r="C170" i="4"/>
  <c r="B172" i="4"/>
  <c r="D174" i="4"/>
  <c r="C176" i="4"/>
  <c r="C178" i="4"/>
  <c r="C180" i="4"/>
  <c r="C182" i="4"/>
  <c r="B184" i="4"/>
  <c r="D185" i="4"/>
  <c r="B158" i="4"/>
  <c r="B159" i="4"/>
  <c r="E160" i="4"/>
  <c r="C162" i="4"/>
  <c r="E163" i="4"/>
  <c r="C165" i="4"/>
  <c r="E166" i="4"/>
  <c r="C168" i="4"/>
  <c r="B170" i="4"/>
  <c r="E171" i="4"/>
  <c r="C173" i="4"/>
  <c r="B175" i="4"/>
  <c r="E176" i="4"/>
  <c r="B178" i="4"/>
  <c r="D179" i="4"/>
  <c r="C181" i="4"/>
  <c r="D182" i="4"/>
  <c r="C184" i="4"/>
  <c r="E185" i="4"/>
  <c r="D157" i="4"/>
  <c r="C159" i="4"/>
  <c r="D160" i="4"/>
  <c r="B162" i="4"/>
  <c r="D163" i="4"/>
  <c r="B165" i="4"/>
  <c r="D166" i="4"/>
  <c r="B168" i="4"/>
  <c r="D169" i="4"/>
  <c r="C171" i="4"/>
  <c r="B173" i="4"/>
  <c r="E174" i="4"/>
  <c r="B176" i="4"/>
  <c r="E177" i="4"/>
  <c r="E179" i="4"/>
  <c r="D181" i="4"/>
  <c r="C183" i="4"/>
  <c r="B186" i="4"/>
  <c r="E157" i="4"/>
  <c r="D159" i="4"/>
  <c r="E161" i="4"/>
  <c r="C163" i="4"/>
  <c r="E164" i="4"/>
  <c r="C166" i="4"/>
  <c r="E167" i="4"/>
  <c r="E169" i="4"/>
  <c r="D171" i="4"/>
  <c r="D173" i="4"/>
  <c r="C175" i="4"/>
  <c r="B177" i="4"/>
  <c r="E178" i="4"/>
  <c r="D180" i="4"/>
  <c r="B182" i="4"/>
  <c r="D183" i="4"/>
  <c r="B185" i="4"/>
  <c r="D186" i="4"/>
  <c r="B169" i="4"/>
  <c r="E170" i="4"/>
  <c r="C172" i="4"/>
  <c r="B174" i="4"/>
  <c r="D175" i="4"/>
  <c r="D177" i="4"/>
  <c r="C179" i="4"/>
  <c r="E180" i="4"/>
  <c r="E182" i="4"/>
  <c r="E184" i="4"/>
  <c r="E186" i="4"/>
  <c r="B157" i="4"/>
  <c r="E158" i="4"/>
  <c r="C160" i="4"/>
  <c r="D161" i="4"/>
  <c r="B163" i="4"/>
  <c r="D164" i="4"/>
  <c r="B166" i="4"/>
  <c r="D167" i="4"/>
  <c r="C169" i="4"/>
  <c r="B171" i="4"/>
  <c r="E172" i="4"/>
  <c r="C174" i="4"/>
  <c r="D176" i="4"/>
  <c r="D178" i="4"/>
  <c r="B180" i="4"/>
  <c r="E181" i="4"/>
  <c r="E183" i="4"/>
  <c r="C185" i="4"/>
</calcChain>
</file>

<file path=xl/sharedStrings.xml><?xml version="1.0" encoding="utf-8"?>
<sst xmlns="http://schemas.openxmlformats.org/spreadsheetml/2006/main" count="4258" uniqueCount="1933">
  <si>
    <t>Student Performance Prediction System</t>
  </si>
  <si>
    <t>Predicting Pass/Fail risk from Attendance, Study Hours and Previous Marks — 1,000 students, 1 all-in-one Dashboard, 15 pivot tables.</t>
  </si>
  <si>
    <t>Problem It Solves</t>
  </si>
  <si>
    <t>Teachers often notice a student is struggling only after a test has already been failed. By the time report cards go out, there is no time left to intervene. This workbook flags at-risk students EARLY, using data that is already available: attendance, weekly study hours, and previous exam marks.</t>
  </si>
  <si>
    <t>How This System Solves It</t>
  </si>
  <si>
    <t>1. Store each student's Attendance %, Study Hours/Week and Previous Marks % in the 'Student Data' sheet.</t>
  </si>
  <si>
    <t>2. A formula converts those three inputs into a single Performance Score (0-100), a Predicted Result (PASS/FAIL) and a Risk Level (High/Medium/Low) — for every student, instantly, with zero manual work.</t>
  </si>
  <si>
    <t>3. The 'Pivot Summary' sheet slices those results 15 different ways (by risk, result, score band, attendance band, study-hours band, previous-marks band, gender, section, four cross-tabs, and ranked Top 10 / Bottom 10 performer lists).</t>
  </si>
  <si>
    <t>4. The single 'Dashboard' sheet turns those pivots into KPI cards, 11 chart/table sections and ranked lists a teacher or head of department can act on in under a minute, all on one scrollable page.</t>
  </si>
  <si>
    <t>How The Prediction Works (the formula)</t>
  </si>
  <si>
    <t>Performance Score = ROUND( 0.4 x Previous Marks%  +  0.3 x Attendance%  +  0.3 x MIN(Study Hours/10, 1) x 100 , 1 )</t>
  </si>
  <si>
    <t>Predicted Result = PASS if Performance Score &gt;= 50, otherwise FAIL.</t>
  </si>
  <si>
    <t>Risk Level = High Risk if Score &lt; 50  |  Medium Risk if 50-64  |  Low Risk if 65+.</t>
  </si>
  <si>
    <t>This is a transparent, rules-based scoring model (not a trained machine-learning model) — every number it produces can be traced back to the three inputs, which makes it easy to explain to a student, parent or teacher. See 'Suggestions &amp; Next Steps' below for how to upgrade to a real ML model.</t>
  </si>
  <si>
    <t>How To Take A Prediction For A New Or Existing Student</t>
  </si>
  <si>
    <t>New student: go to 'Student Data', add a new row at the bottom with Student ID, Name, Gender, Section, Attendance (%), Study Hours/Week and Previous Marks (%). Copy the formulas from columns H:M down into that row (select the row above, copy, paste into the new row) — the Score, Result, Risk Level and ranks will calculate automatically.</t>
  </si>
  <si>
    <t>Existing student / what-if check: change any of that student's Attendance, Study Hours or Previous Marks cells and their Performance Score, Predicted Result and Risk Level update immediately, along with every pivot table and dashboard that references them.</t>
  </si>
  <si>
    <t>To find one student fast: use Ctrl+F on 'Student Data', or filter the StudentDataTable by any column using the drop-down arrows in row 2.</t>
  </si>
  <si>
    <t>Functions Used In This Workbook</t>
  </si>
  <si>
    <t>ROUND — rounds the Performance Score to 1 decimal place.</t>
  </si>
  <si>
    <t>IF / nested IF — turns the score into PASS/FAIL and into High/Medium/Low Risk.</t>
  </si>
  <si>
    <t>MIN — caps the Study Hours contribution at 10 hrs/week so extra hours don't inflate the score forever.</t>
  </si>
  <si>
    <t>COUNTIF / COUNTIFS — counts students meeting one or more conditions (used in every pivot table and KPI).</t>
  </si>
  <si>
    <t>AVERAGEIF / AVERAGEIFS — averages a column for students meeting one or more conditions (e.g. avg score for High Risk students).</t>
  </si>
  <si>
    <t>RANK + COUNTIF (tie-breaker) — produces a unique rank per student (HighRiskRank, PerfRank) so INDEX/MATCH can look up the Nth-ranked student without duplicates.</t>
  </si>
  <si>
    <t>INDEX + MATCH — looks up a specific student's ID, Name, Score or Result by their rank (used to build the High-Risk list and the Top/Bottom 10 tables).</t>
  </si>
  <si>
    <t>CORREL — measures how strongly Attendance, Study Hours and Previous Marks each move together with the Performance Score (see 'Insights' sheet).</t>
  </si>
  <si>
    <t>IFERROR — hides lookup errors when a search has nothing to find yet (e.g. fewer than 30 High Risk students).</t>
  </si>
  <si>
    <t>Workbook Map</t>
  </si>
  <si>
    <t>README — this sheet.</t>
  </si>
  <si>
    <t>Student Data — the 1,000-row source table. Blue cells are editable inputs; everything else is a formula.</t>
  </si>
  <si>
    <t>Pivot Summary — 15 formula-driven pivot tables (see sheet for the full list, including Top 10 / Bottom 10 performer rankings and four cross-tabs).</t>
  </si>
  <si>
    <t>Dashboard — one sheet with 11 sections: top-line KPIs, risk &amp; result overview, risk analysis, attendance, study hours, previous marks, score distribution, gender, section, a 30-name high-risk support list, top/bottom 10 performers, and a correlation + prediction how-to guide.</t>
  </si>
  <si>
    <t>Insights — correlation analysis, class-wide KPIs, and a step-by-step guide to acting on the numbers.</t>
  </si>
  <si>
    <t>Suggestions &amp; Next Steps</t>
  </si>
  <si>
    <t>Add more inputs if available: assignment completion rate, quiz scores, extracurricular hours, or parental engagement often improve prediction quality beyond these three factors.</t>
  </si>
  <si>
    <t>Upgrade to a trained model: export 'Student Data' to CSV and fit a logistic regression or decision tree in Python/R once you have a full year of verified PASS/FAIL outcomes to train against — this workbook's formula is a strong, explainable baseline to compare a trained model to.</t>
  </si>
  <si>
    <t>Automate refreshes: connect 'Student Data' to your school's information system with Power Query (Data tab -&gt; Get Data) instead of pasting data in by hand.</t>
  </si>
  <si>
    <t>Track accuracy over time: once real exam results come in, add an 'Actual Result' column and a COUNTIFS-based accuracy KPI comparing Predicted Result to Actual Result each term.</t>
  </si>
  <si>
    <t>Add slicers to a native Excel PivotTable for point-and-click filtering by section, gender or risk level, alongside the fixed Dashboard sheet already built here.</t>
  </si>
  <si>
    <t>Student Data  (blue cells = editable inputs; other columns are formulas) — 1,000 students</t>
  </si>
  <si>
    <t>Student ID</t>
  </si>
  <si>
    <t>Name</t>
  </si>
  <si>
    <t>Gender</t>
  </si>
  <si>
    <t>Section</t>
  </si>
  <si>
    <t>Attendance (%)</t>
  </si>
  <si>
    <t>Study Hours/Week</t>
  </si>
  <si>
    <t>Previous Marks (%)</t>
  </si>
  <si>
    <t>Performance Score</t>
  </si>
  <si>
    <t>Predicted Result</t>
  </si>
  <si>
    <t>Risk Level</t>
  </si>
  <si>
    <t>Notes</t>
  </si>
  <si>
    <t>HighRiskRank</t>
  </si>
  <si>
    <t>PerfRank</t>
  </si>
  <si>
    <t>STU0001</t>
  </si>
  <si>
    <t>Amit Desai</t>
  </si>
  <si>
    <t>Male</t>
  </si>
  <si>
    <t>A</t>
  </si>
  <si>
    <t>STU0002</t>
  </si>
  <si>
    <t>Ravi Singh</t>
  </si>
  <si>
    <t>STU0003</t>
  </si>
  <si>
    <t>Divya Yadav</t>
  </si>
  <si>
    <t>Female</t>
  </si>
  <si>
    <t>C</t>
  </si>
  <si>
    <t>STU0004</t>
  </si>
  <si>
    <t>Riya Sharma</t>
  </si>
  <si>
    <t>STU0005</t>
  </si>
  <si>
    <t>Anita Reddy</t>
  </si>
  <si>
    <t>D</t>
  </si>
  <si>
    <t>STU0006</t>
  </si>
  <si>
    <t>Bhavna Agarwal</t>
  </si>
  <si>
    <t>STU0007</t>
  </si>
  <si>
    <t>Kunal Nair</t>
  </si>
  <si>
    <t>STU0008</t>
  </si>
  <si>
    <t>Pooja Rao</t>
  </si>
  <si>
    <t>B</t>
  </si>
  <si>
    <t>STU0009</t>
  </si>
  <si>
    <t>Ashok Desai</t>
  </si>
  <si>
    <t>STU0010</t>
  </si>
  <si>
    <t>Siddharth Iyer</t>
  </si>
  <si>
    <t>STU0011</t>
  </si>
  <si>
    <t>Priya Gupta</t>
  </si>
  <si>
    <t>STU0012</t>
  </si>
  <si>
    <t>Anjali Reddy</t>
  </si>
  <si>
    <t>STU0013</t>
  </si>
  <si>
    <t>Isha Mehta</t>
  </si>
  <si>
    <t>STU0014</t>
  </si>
  <si>
    <t>Pranav Verma</t>
  </si>
  <si>
    <t>STU0015</t>
  </si>
  <si>
    <t>Radhika Naidu</t>
  </si>
  <si>
    <t>STU0016</t>
  </si>
  <si>
    <t>Sneha Nair</t>
  </si>
  <si>
    <t>STU0017</t>
  </si>
  <si>
    <t>Sanjay Shah</t>
  </si>
  <si>
    <t>STU0018</t>
  </si>
  <si>
    <t>Komal Verma</t>
  </si>
  <si>
    <t>STU0019</t>
  </si>
  <si>
    <t>Vikram Shah</t>
  </si>
  <si>
    <t>STU0020</t>
  </si>
  <si>
    <t>Rohan Desai</t>
  </si>
  <si>
    <t>STU0021</t>
  </si>
  <si>
    <t>Radhika Verma</t>
  </si>
  <si>
    <t>STU0022</t>
  </si>
  <si>
    <t>Harsh Nair</t>
  </si>
  <si>
    <t>STU0023</t>
  </si>
  <si>
    <t>Manoj Dutta</t>
  </si>
  <si>
    <t>STU0024</t>
  </si>
  <si>
    <t>STU0025</t>
  </si>
  <si>
    <t>Ashok Sharma</t>
  </si>
  <si>
    <t>STU0026</t>
  </si>
  <si>
    <t>Neha Sinha</t>
  </si>
  <si>
    <t>STU0027</t>
  </si>
  <si>
    <t>Rajesh Kumar</t>
  </si>
  <si>
    <t>STU0028</t>
  </si>
  <si>
    <t>Nikhil Verma</t>
  </si>
  <si>
    <t>STU0029</t>
  </si>
  <si>
    <t>Rajesh Agarwal</t>
  </si>
  <si>
    <t>STU0030</t>
  </si>
  <si>
    <t>Nikhil Joshi</t>
  </si>
  <si>
    <t>STU0031</t>
  </si>
  <si>
    <t>Riya Shah</t>
  </si>
  <si>
    <t>STU0032</t>
  </si>
  <si>
    <t>Anjali Gupta</t>
  </si>
  <si>
    <t>STU0033</t>
  </si>
  <si>
    <t>Rajesh Chatterjee</t>
  </si>
  <si>
    <t>STU0034</t>
  </si>
  <si>
    <t>Rohan Bose</t>
  </si>
  <si>
    <t>STU0035</t>
  </si>
  <si>
    <t>Aditya Dutta</t>
  </si>
  <si>
    <t>STU0036</t>
  </si>
  <si>
    <t>Divya Reddy</t>
  </si>
  <si>
    <t>STU0037</t>
  </si>
  <si>
    <t>Amit Yadav</t>
  </si>
  <si>
    <t>STU0038</t>
  </si>
  <si>
    <t>Abhishek Rao</t>
  </si>
  <si>
    <t>STU0039</t>
  </si>
  <si>
    <t>Anita Kulkarni</t>
  </si>
  <si>
    <t>STU0040</t>
  </si>
  <si>
    <t>Sandeep Sinha</t>
  </si>
  <si>
    <t>STU0041</t>
  </si>
  <si>
    <t>Neha Bansal</t>
  </si>
  <si>
    <t>STU0042</t>
  </si>
  <si>
    <t>Pranav Singh</t>
  </si>
  <si>
    <t>STU0043</t>
  </si>
  <si>
    <t>Yash Yadav</t>
  </si>
  <si>
    <t>STU0044</t>
  </si>
  <si>
    <t>Ashok Pandey</t>
  </si>
  <si>
    <t>STU0045</t>
  </si>
  <si>
    <t>Varun Rao</t>
  </si>
  <si>
    <t>STU0046</t>
  </si>
  <si>
    <t>Anita Desai</t>
  </si>
  <si>
    <t>STU0047</t>
  </si>
  <si>
    <t>Lakshmi Verma</t>
  </si>
  <si>
    <t>STU0048</t>
  </si>
  <si>
    <t>Sandeep Verma</t>
  </si>
  <si>
    <t>STU0049</t>
  </si>
  <si>
    <t>Isha Nair</t>
  </si>
  <si>
    <t>STU0050</t>
  </si>
  <si>
    <t>Ritu Dutta</t>
  </si>
  <si>
    <t>STU0051</t>
  </si>
  <si>
    <t>Lakshmi Sinha</t>
  </si>
  <si>
    <t>STU0052</t>
  </si>
  <si>
    <t>Isha Desai</t>
  </si>
  <si>
    <t>STU0053</t>
  </si>
  <si>
    <t>Sandeep Pandey</t>
  </si>
  <si>
    <t>STU0054</t>
  </si>
  <si>
    <t>Vivek Singh</t>
  </si>
  <si>
    <t>STU0055</t>
  </si>
  <si>
    <t>Tanvi Nair</t>
  </si>
  <si>
    <t>STU0056</t>
  </si>
  <si>
    <t>Simran Desai</t>
  </si>
  <si>
    <t>STU0057</t>
  </si>
  <si>
    <t>Neha Singh</t>
  </si>
  <si>
    <t>STU0058</t>
  </si>
  <si>
    <t>Rachna Patel</t>
  </si>
  <si>
    <t>STU0059</t>
  </si>
  <si>
    <t>Priya Menon</t>
  </si>
  <si>
    <t>STU0060</t>
  </si>
  <si>
    <t>Manoj Joshi</t>
  </si>
  <si>
    <t>STU0061</t>
  </si>
  <si>
    <t>Shreya Kumar</t>
  </si>
  <si>
    <t>STU0062</t>
  </si>
  <si>
    <t>Kunal Singh</t>
  </si>
  <si>
    <t>STU0063</t>
  </si>
  <si>
    <t>Rahul Sharma</t>
  </si>
  <si>
    <t>STU0064</t>
  </si>
  <si>
    <t>Anita Menon</t>
  </si>
  <si>
    <t>STU0065</t>
  </si>
  <si>
    <t>Nisha Reddy</t>
  </si>
  <si>
    <t>STU0066</t>
  </si>
  <si>
    <t>Sandeep Yadav</t>
  </si>
  <si>
    <t>STU0067</t>
  </si>
  <si>
    <t>Arjun Mehta</t>
  </si>
  <si>
    <t>STU0068</t>
  </si>
  <si>
    <t>Swati Pandey</t>
  </si>
  <si>
    <t>STU0069</t>
  </si>
  <si>
    <t>Shreya Chandra</t>
  </si>
  <si>
    <t>STU0070</t>
  </si>
  <si>
    <t>Gaurav Mehta</t>
  </si>
  <si>
    <t>STU0071</t>
  </si>
  <si>
    <t>Naveen Yadav</t>
  </si>
  <si>
    <t>STU0072</t>
  </si>
  <si>
    <t>Rohan Agarwal</t>
  </si>
  <si>
    <t>STU0073</t>
  </si>
  <si>
    <t>Meera Iyer</t>
  </si>
  <si>
    <t>STU0074</t>
  </si>
  <si>
    <t>Gaurav Chandra</t>
  </si>
  <si>
    <t>STU0075</t>
  </si>
  <si>
    <t>Kunal Chandra</t>
  </si>
  <si>
    <t>STU0076</t>
  </si>
  <si>
    <t>Ravi Gupta</t>
  </si>
  <si>
    <t>STU0077</t>
  </si>
  <si>
    <t>Kunal Menon</t>
  </si>
  <si>
    <t>STU0078</t>
  </si>
  <si>
    <t>Aarti Chauhan</t>
  </si>
  <si>
    <t>STU0079</t>
  </si>
  <si>
    <t>Ritu Bansal</t>
  </si>
  <si>
    <t>STU0080</t>
  </si>
  <si>
    <t>Simran Rao</t>
  </si>
  <si>
    <t>STU0081</t>
  </si>
  <si>
    <t>Isha Agarwal</t>
  </si>
  <si>
    <t>STU0082</t>
  </si>
  <si>
    <t>STU0083</t>
  </si>
  <si>
    <t>Ritu Mehta</t>
  </si>
  <si>
    <t>STU0084</t>
  </si>
  <si>
    <t>Meera Chandra</t>
  </si>
  <si>
    <t>STU0085</t>
  </si>
  <si>
    <t>Manisha Bose</t>
  </si>
  <si>
    <t>STU0086</t>
  </si>
  <si>
    <t>Shreya Malhotra</t>
  </si>
  <si>
    <t>STU0087</t>
  </si>
  <si>
    <t>Ankit Mehta</t>
  </si>
  <si>
    <t>STU0088</t>
  </si>
  <si>
    <t>Swati Desai</t>
  </si>
  <si>
    <t>STU0089</t>
  </si>
  <si>
    <t>Deepak Sinha</t>
  </si>
  <si>
    <t>STU0090</t>
  </si>
  <si>
    <t>Deepika Chatterjee</t>
  </si>
  <si>
    <t>STU0091</t>
  </si>
  <si>
    <t>Vivek Verma</t>
  </si>
  <si>
    <t>STU0092</t>
  </si>
  <si>
    <t>Payal Sharma</t>
  </si>
  <si>
    <t>STU0093</t>
  </si>
  <si>
    <t>Nisha Iyer</t>
  </si>
  <si>
    <t>STU0094</t>
  </si>
  <si>
    <t>Shreya Dutta</t>
  </si>
  <si>
    <t>STU0095</t>
  </si>
  <si>
    <t>Manoj Sinha</t>
  </si>
  <si>
    <t>STU0096</t>
  </si>
  <si>
    <t>Nisha Shah</t>
  </si>
  <si>
    <t>STU0097</t>
  </si>
  <si>
    <t>Kunal Gupta</t>
  </si>
  <si>
    <t>STU0098</t>
  </si>
  <si>
    <t>Amit Singh</t>
  </si>
  <si>
    <t>STU0099</t>
  </si>
  <si>
    <t>Priya Bansal</t>
  </si>
  <si>
    <t>STU0100</t>
  </si>
  <si>
    <t>Nikhil Sinha</t>
  </si>
  <si>
    <t>STU0101</t>
  </si>
  <si>
    <t>Mohit Nair</t>
  </si>
  <si>
    <t>STU0102</t>
  </si>
  <si>
    <t>Payal Kumar</t>
  </si>
  <si>
    <t>STU0103</t>
  </si>
  <si>
    <t>Deepika Iyer</t>
  </si>
  <si>
    <t>STU0104</t>
  </si>
  <si>
    <t>Kunal Bansal</t>
  </si>
  <si>
    <t>STU0105</t>
  </si>
  <si>
    <t>Suman Reddy</t>
  </si>
  <si>
    <t>STU0106</t>
  </si>
  <si>
    <t>Swati Iyer</t>
  </si>
  <si>
    <t>STU0107</t>
  </si>
  <si>
    <t>Bhavna Ghosh</t>
  </si>
  <si>
    <t>STU0108</t>
  </si>
  <si>
    <t>Ritu Kapoor</t>
  </si>
  <si>
    <t>STU0109</t>
  </si>
  <si>
    <t>Anita Ghosh</t>
  </si>
  <si>
    <t>STU0110</t>
  </si>
  <si>
    <t>Nisha Patel</t>
  </si>
  <si>
    <t>STU0111</t>
  </si>
  <si>
    <t>Ankit Malhotra</t>
  </si>
  <si>
    <t>STU0112</t>
  </si>
  <si>
    <t>Pranav Menon</t>
  </si>
  <si>
    <t>STU0113</t>
  </si>
  <si>
    <t>Shreya Mehta</t>
  </si>
  <si>
    <t>STU0114</t>
  </si>
  <si>
    <t>Tarun Dutta</t>
  </si>
  <si>
    <t>STU0115</t>
  </si>
  <si>
    <t>Ankit Desai</t>
  </si>
  <si>
    <t>STU0116</t>
  </si>
  <si>
    <t>Isha Iyer</t>
  </si>
  <si>
    <t>STU0117</t>
  </si>
  <si>
    <t>Ravi Kumar</t>
  </si>
  <si>
    <t>STU0118</t>
  </si>
  <si>
    <t>Aarti Bansal</t>
  </si>
  <si>
    <t>STU0119</t>
  </si>
  <si>
    <t>Ritu Sinha</t>
  </si>
  <si>
    <t>STU0120</t>
  </si>
  <si>
    <t>Ritu Agarwal</t>
  </si>
  <si>
    <t>STU0121</t>
  </si>
  <si>
    <t>Preeti Dutta</t>
  </si>
  <si>
    <t>STU0122</t>
  </si>
  <si>
    <t>Ritu Malhotra</t>
  </si>
  <si>
    <t>STU0123</t>
  </si>
  <si>
    <t>STU0124</t>
  </si>
  <si>
    <t>Rajesh Iyer</t>
  </si>
  <si>
    <t>STU0125</t>
  </si>
  <si>
    <t>Karan Verma</t>
  </si>
  <si>
    <t>STU0126</t>
  </si>
  <si>
    <t>Manoj Yadav</t>
  </si>
  <si>
    <t>STU0127</t>
  </si>
  <si>
    <t>Simran Malhotra</t>
  </si>
  <si>
    <t>STU0128</t>
  </si>
  <si>
    <t>Payal Reddy</t>
  </si>
  <si>
    <t>STU0129</t>
  </si>
  <si>
    <t>Sunita Rao</t>
  </si>
  <si>
    <t>STU0130</t>
  </si>
  <si>
    <t>Lakshmi Chatterjee</t>
  </si>
  <si>
    <t>STU0131</t>
  </si>
  <si>
    <t>Komal Kulkarni</t>
  </si>
  <si>
    <t>STU0132</t>
  </si>
  <si>
    <t>Pranav Sinha</t>
  </si>
  <si>
    <t>STU0133</t>
  </si>
  <si>
    <t>Rohan Shah</t>
  </si>
  <si>
    <t>STU0134</t>
  </si>
  <si>
    <t>Tanvi Kapoor</t>
  </si>
  <si>
    <t>STU0135</t>
  </si>
  <si>
    <t>Deepika Naidu</t>
  </si>
  <si>
    <t>STU0136</t>
  </si>
  <si>
    <t>Ritu Kulkarni</t>
  </si>
  <si>
    <t>STU0137</t>
  </si>
  <si>
    <t>STU0138</t>
  </si>
  <si>
    <t>STU0139</t>
  </si>
  <si>
    <t>Suman Chauhan</t>
  </si>
  <si>
    <t>STU0140</t>
  </si>
  <si>
    <t>Sneha Sinha</t>
  </si>
  <si>
    <t>STU0141</t>
  </si>
  <si>
    <t>Sunita Desai</t>
  </si>
  <si>
    <t>STU0142</t>
  </si>
  <si>
    <t>Khushi Chauhan</t>
  </si>
  <si>
    <t>STU0143</t>
  </si>
  <si>
    <t>Radhika Patel</t>
  </si>
  <si>
    <t>STU0144</t>
  </si>
  <si>
    <t>STU0145</t>
  </si>
  <si>
    <t>Mohit Chatterjee</t>
  </si>
  <si>
    <t>STU0146</t>
  </si>
  <si>
    <t>Deepak Ghosh</t>
  </si>
  <si>
    <t>STU0147</t>
  </si>
  <si>
    <t>Ashok Reddy</t>
  </si>
  <si>
    <t>STU0148</t>
  </si>
  <si>
    <t>Ravi Iyer</t>
  </si>
  <si>
    <t>STU0149</t>
  </si>
  <si>
    <t>Gaurav Yadav</t>
  </si>
  <si>
    <t>STU0150</t>
  </si>
  <si>
    <t>Yash Kulkarni</t>
  </si>
  <si>
    <t>STU0151</t>
  </si>
  <si>
    <t>Ritu Kumar</t>
  </si>
  <si>
    <t>STU0152</t>
  </si>
  <si>
    <t>Anita Sharma</t>
  </si>
  <si>
    <t>STU0153</t>
  </si>
  <si>
    <t>Nisha Kapoor</t>
  </si>
  <si>
    <t>STU0154</t>
  </si>
  <si>
    <t>Nikhil Yadav</t>
  </si>
  <si>
    <t>STU0155</t>
  </si>
  <si>
    <t>STU0156</t>
  </si>
  <si>
    <t>Rohan Singh</t>
  </si>
  <si>
    <t>STU0157</t>
  </si>
  <si>
    <t>Simran Sinha</t>
  </si>
  <si>
    <t>STU0158</t>
  </si>
  <si>
    <t>Ankit Bose</t>
  </si>
  <si>
    <t>STU0159</t>
  </si>
  <si>
    <t>Vivek Naidu</t>
  </si>
  <si>
    <t>STU0160</t>
  </si>
  <si>
    <t>Aditya Shah</t>
  </si>
  <si>
    <t>STU0161</t>
  </si>
  <si>
    <t>Isha Chandra</t>
  </si>
  <si>
    <t>STU0162</t>
  </si>
  <si>
    <t>STU0163</t>
  </si>
  <si>
    <t>Komal Chatterjee</t>
  </si>
  <si>
    <t>STU0164</t>
  </si>
  <si>
    <t>STU0165</t>
  </si>
  <si>
    <t>STU0166</t>
  </si>
  <si>
    <t>Anil Bose</t>
  </si>
  <si>
    <t>STU0167</t>
  </si>
  <si>
    <t>Meera Sinha</t>
  </si>
  <si>
    <t>STU0168</t>
  </si>
  <si>
    <t>Priya Kumar</t>
  </si>
  <si>
    <t>STU0169</t>
  </si>
  <si>
    <t>Sunita Kumar</t>
  </si>
  <si>
    <t>STU0170</t>
  </si>
  <si>
    <t>Bhavna Chauhan</t>
  </si>
  <si>
    <t>STU0171</t>
  </si>
  <si>
    <t>Anil Naidu</t>
  </si>
  <si>
    <t>STU0172</t>
  </si>
  <si>
    <t>Sanjay Kapoor</t>
  </si>
  <si>
    <t>STU0173</t>
  </si>
  <si>
    <t>STU0174</t>
  </si>
  <si>
    <t>Kunal Agarwal</t>
  </si>
  <si>
    <t>STU0175</t>
  </si>
  <si>
    <t>STU0176</t>
  </si>
  <si>
    <t>Vivek Kapoor</t>
  </si>
  <si>
    <t>STU0177</t>
  </si>
  <si>
    <t>Aditya Bose</t>
  </si>
  <si>
    <t>STU0178</t>
  </si>
  <si>
    <t>Suman Kulkarni</t>
  </si>
  <si>
    <t>STU0179</t>
  </si>
  <si>
    <t>Sneha Kulkarni</t>
  </si>
  <si>
    <t>STU0180</t>
  </si>
  <si>
    <t>Harsh Yadav</t>
  </si>
  <si>
    <t>STU0181</t>
  </si>
  <si>
    <t>Swati Ghosh</t>
  </si>
  <si>
    <t>STU0182</t>
  </si>
  <si>
    <t>Ashok Bansal</t>
  </si>
  <si>
    <t>STU0183</t>
  </si>
  <si>
    <t>Deepak Dutta</t>
  </si>
  <si>
    <t>STU0184</t>
  </si>
  <si>
    <t>Anjali Bose</t>
  </si>
  <si>
    <t>STU0185</t>
  </si>
  <si>
    <t>Siddharth Chauhan</t>
  </si>
  <si>
    <t>STU0186</t>
  </si>
  <si>
    <t>Tanvi Rao</t>
  </si>
  <si>
    <t>STU0187</t>
  </si>
  <si>
    <t>Manoj Sharma</t>
  </si>
  <si>
    <t>STU0188</t>
  </si>
  <si>
    <t>STU0189</t>
  </si>
  <si>
    <t>STU0190</t>
  </si>
  <si>
    <t>Divya Malhotra</t>
  </si>
  <si>
    <t>STU0191</t>
  </si>
  <si>
    <t>Nisha Ghosh</t>
  </si>
  <si>
    <t>STU0192</t>
  </si>
  <si>
    <t>Tarun Reddy</t>
  </si>
  <si>
    <t>STU0193</t>
  </si>
  <si>
    <t>Ankit Dutta</t>
  </si>
  <si>
    <t>STU0194</t>
  </si>
  <si>
    <t>STU0195</t>
  </si>
  <si>
    <t>Priya Rao</t>
  </si>
  <si>
    <t>STU0196</t>
  </si>
  <si>
    <t>Arjun Pandey</t>
  </si>
  <si>
    <t>STU0197</t>
  </si>
  <si>
    <t>Anita Chandra</t>
  </si>
  <si>
    <t>STU0198</t>
  </si>
  <si>
    <t>Sneha Ghosh</t>
  </si>
  <si>
    <t>STU0199</t>
  </si>
  <si>
    <t>Priya Sinha</t>
  </si>
  <si>
    <t>STU0200</t>
  </si>
  <si>
    <t>Ankit Singh</t>
  </si>
  <si>
    <t>STU0201</t>
  </si>
  <si>
    <t>Priya Kapoor</t>
  </si>
  <si>
    <t>STU0202</t>
  </si>
  <si>
    <t>Pranav Kumar</t>
  </si>
  <si>
    <t>STU0203</t>
  </si>
  <si>
    <t>Kunal Chatterjee</t>
  </si>
  <si>
    <t>STU0204</t>
  </si>
  <si>
    <t>Naveen Ghosh</t>
  </si>
  <si>
    <t>STU0205</t>
  </si>
  <si>
    <t>Khushi Nair</t>
  </si>
  <si>
    <t>STU0206</t>
  </si>
  <si>
    <t>Bhavna Malhotra</t>
  </si>
  <si>
    <t>STU0207</t>
  </si>
  <si>
    <t>Tarun Agarwal</t>
  </si>
  <si>
    <t>STU0208</t>
  </si>
  <si>
    <t>Meera Verma</t>
  </si>
  <si>
    <t>STU0209</t>
  </si>
  <si>
    <t>Priya Singh</t>
  </si>
  <si>
    <t>STU0210</t>
  </si>
  <si>
    <t>Kavya Yadav</t>
  </si>
  <si>
    <t>STU0211</t>
  </si>
  <si>
    <t>Anita Singh</t>
  </si>
  <si>
    <t>STU0212</t>
  </si>
  <si>
    <t>Tanvi Kulkarni</t>
  </si>
  <si>
    <t>STU0213</t>
  </si>
  <si>
    <t>Khushi Sharma</t>
  </si>
  <si>
    <t>STU0214</t>
  </si>
  <si>
    <t>Siddharth Yadav</t>
  </si>
  <si>
    <t>STU0215</t>
  </si>
  <si>
    <t>Meera Agarwal</t>
  </si>
  <si>
    <t>STU0216</t>
  </si>
  <si>
    <t>Sandeep Ghosh</t>
  </si>
  <si>
    <t>STU0217</t>
  </si>
  <si>
    <t>STU0218</t>
  </si>
  <si>
    <t>STU0219</t>
  </si>
  <si>
    <t>Mohit Rao</t>
  </si>
  <si>
    <t>STU0220</t>
  </si>
  <si>
    <t>Vivek Malhotra</t>
  </si>
  <si>
    <t>STU0221</t>
  </si>
  <si>
    <t>Ankit Kumar</t>
  </si>
  <si>
    <t>STU0222</t>
  </si>
  <si>
    <t>Arjun Iyer</t>
  </si>
  <si>
    <t>STU0223</t>
  </si>
  <si>
    <t>Kunal Sharma</t>
  </si>
  <si>
    <t>STU0224</t>
  </si>
  <si>
    <t>Karan Iyer</t>
  </si>
  <si>
    <t>STU0225</t>
  </si>
  <si>
    <t>Sandeep Gupta</t>
  </si>
  <si>
    <t>STU0226</t>
  </si>
  <si>
    <t>Ravi Chatterjee</t>
  </si>
  <si>
    <t>STU0227</t>
  </si>
  <si>
    <t>Naveen Naidu</t>
  </si>
  <si>
    <t>STU0228</t>
  </si>
  <si>
    <t>Anita Agarwal</t>
  </si>
  <si>
    <t>STU0229</t>
  </si>
  <si>
    <t>Mohit Kulkarni</t>
  </si>
  <si>
    <t>STU0230</t>
  </si>
  <si>
    <t>Nisha Gupta</t>
  </si>
  <si>
    <t>STU0231</t>
  </si>
  <si>
    <t>Aarti Sharma</t>
  </si>
  <si>
    <t>STU0232</t>
  </si>
  <si>
    <t>Divya Sharma</t>
  </si>
  <si>
    <t>STU0233</t>
  </si>
  <si>
    <t>Naveen Iyer</t>
  </si>
  <si>
    <t>STU0234</t>
  </si>
  <si>
    <t>Shreya Patel</t>
  </si>
  <si>
    <t>STU0235</t>
  </si>
  <si>
    <t>Ravi Rao</t>
  </si>
  <si>
    <t>STU0236</t>
  </si>
  <si>
    <t>Radhika Chandra</t>
  </si>
  <si>
    <t>STU0237</t>
  </si>
  <si>
    <t>Khushi Kumar</t>
  </si>
  <si>
    <t>STU0238</t>
  </si>
  <si>
    <t>Komal Malhotra</t>
  </si>
  <si>
    <t>STU0239</t>
  </si>
  <si>
    <t>Isha Kulkarni</t>
  </si>
  <si>
    <t>STU0240</t>
  </si>
  <si>
    <t>Tanvi Pandey</t>
  </si>
  <si>
    <t>STU0241</t>
  </si>
  <si>
    <t>Deepak Shah</t>
  </si>
  <si>
    <t>STU0242</t>
  </si>
  <si>
    <t>Tanvi Menon</t>
  </si>
  <si>
    <t>STU0243</t>
  </si>
  <si>
    <t>STU0244</t>
  </si>
  <si>
    <t>Aditya Joshi</t>
  </si>
  <si>
    <t>STU0245</t>
  </si>
  <si>
    <t>Ravi Joshi</t>
  </si>
  <si>
    <t>STU0246</t>
  </si>
  <si>
    <t>STU0247</t>
  </si>
  <si>
    <t>Nikhil Kapoor</t>
  </si>
  <si>
    <t>STU0248</t>
  </si>
  <si>
    <t>Sanjay Gupta</t>
  </si>
  <si>
    <t>STU0249</t>
  </si>
  <si>
    <t>Suman Malhotra</t>
  </si>
  <si>
    <t>STU0250</t>
  </si>
  <si>
    <t>Anita Joshi</t>
  </si>
  <si>
    <t>STU0251</t>
  </si>
  <si>
    <t>Komal Nair</t>
  </si>
  <si>
    <t>STU0252</t>
  </si>
  <si>
    <t>Kavya Sinha</t>
  </si>
  <si>
    <t>STU0253</t>
  </si>
  <si>
    <t>Ankit Pandey</t>
  </si>
  <si>
    <t>STU0254</t>
  </si>
  <si>
    <t>Neha Gupta</t>
  </si>
  <si>
    <t>STU0255</t>
  </si>
  <si>
    <t>Manoj Pandey</t>
  </si>
  <si>
    <t>STU0256</t>
  </si>
  <si>
    <t>Sneha Bansal</t>
  </si>
  <si>
    <t>STU0257</t>
  </si>
  <si>
    <t>Shreya Agarwal</t>
  </si>
  <si>
    <t>STU0258</t>
  </si>
  <si>
    <t>Pranav Chatterjee</t>
  </si>
  <si>
    <t>STU0259</t>
  </si>
  <si>
    <t>Manisha Menon</t>
  </si>
  <si>
    <t>STU0260</t>
  </si>
  <si>
    <t>Manisha Pandey</t>
  </si>
  <si>
    <t>STU0261</t>
  </si>
  <si>
    <t>Manisha Sharma</t>
  </si>
  <si>
    <t>STU0262</t>
  </si>
  <si>
    <t>Preeti Reddy</t>
  </si>
  <si>
    <t>STU0263</t>
  </si>
  <si>
    <t>Karan Bose</t>
  </si>
  <si>
    <t>STU0264</t>
  </si>
  <si>
    <t>Karan Sharma</t>
  </si>
  <si>
    <t>STU0265</t>
  </si>
  <si>
    <t>Meera Nair</t>
  </si>
  <si>
    <t>STU0266</t>
  </si>
  <si>
    <t>Rahul Nair</t>
  </si>
  <si>
    <t>STU0267</t>
  </si>
  <si>
    <t>Pranav Shah</t>
  </si>
  <si>
    <t>STU0268</t>
  </si>
  <si>
    <t>Deepika Bose</t>
  </si>
  <si>
    <t>STU0269</t>
  </si>
  <si>
    <t>Kunal Mehta</t>
  </si>
  <si>
    <t>STU0270</t>
  </si>
  <si>
    <t>Priya Shah</t>
  </si>
  <si>
    <t>STU0271</t>
  </si>
  <si>
    <t>STU0272</t>
  </si>
  <si>
    <t>Rachna Pandey</t>
  </si>
  <si>
    <t>STU0273</t>
  </si>
  <si>
    <t>Deepika Chandra</t>
  </si>
  <si>
    <t>STU0274</t>
  </si>
  <si>
    <t>Payal Dutta</t>
  </si>
  <si>
    <t>STU0275</t>
  </si>
  <si>
    <t>Swati Verma</t>
  </si>
  <si>
    <t>STU0276</t>
  </si>
  <si>
    <t>Nisha Naidu</t>
  </si>
  <si>
    <t>STU0277</t>
  </si>
  <si>
    <t>Pranav Naidu</t>
  </si>
  <si>
    <t>STU0278</t>
  </si>
  <si>
    <t>Naveen Chandra</t>
  </si>
  <si>
    <t>STU0279</t>
  </si>
  <si>
    <t>Bhavna Mehta</t>
  </si>
  <si>
    <t>STU0280</t>
  </si>
  <si>
    <t>Rajesh Kulkarni</t>
  </si>
  <si>
    <t>STU0281</t>
  </si>
  <si>
    <t>Vikram Bose</t>
  </si>
  <si>
    <t>STU0282</t>
  </si>
  <si>
    <t>Nisha Mehta</t>
  </si>
  <si>
    <t>STU0283</t>
  </si>
  <si>
    <t>Naveen Shah</t>
  </si>
  <si>
    <t>STU0284</t>
  </si>
  <si>
    <t>STU0285</t>
  </si>
  <si>
    <t>Pranav Bansal</t>
  </si>
  <si>
    <t>STU0286</t>
  </si>
  <si>
    <t>Payal Singh</t>
  </si>
  <si>
    <t>STU0287</t>
  </si>
  <si>
    <t>Ankit Naidu</t>
  </si>
  <si>
    <t>STU0288</t>
  </si>
  <si>
    <t>Anil Mehta</t>
  </si>
  <si>
    <t>STU0289</t>
  </si>
  <si>
    <t>Rajesh Reddy</t>
  </si>
  <si>
    <t>STU0290</t>
  </si>
  <si>
    <t>Gaurav Gupta</t>
  </si>
  <si>
    <t>STU0291</t>
  </si>
  <si>
    <t>Yash Ghosh</t>
  </si>
  <si>
    <t>STU0292</t>
  </si>
  <si>
    <t>STU0293</t>
  </si>
  <si>
    <t>Nisha Sinha</t>
  </si>
  <si>
    <t>STU0294</t>
  </si>
  <si>
    <t>STU0295</t>
  </si>
  <si>
    <t>Kavya Sharma</t>
  </si>
  <si>
    <t>STU0296</t>
  </si>
  <si>
    <t>Riya Ghosh</t>
  </si>
  <si>
    <t>STU0297</t>
  </si>
  <si>
    <t>Pooja Sharma</t>
  </si>
  <si>
    <t>STU0298</t>
  </si>
  <si>
    <t>Sanjay Pandey</t>
  </si>
  <si>
    <t>STU0299</t>
  </si>
  <si>
    <t>Naveen Agarwal</t>
  </si>
  <si>
    <t>STU0300</t>
  </si>
  <si>
    <t>Simran Joshi</t>
  </si>
  <si>
    <t>STU0301</t>
  </si>
  <si>
    <t>Lakshmi Kapoor</t>
  </si>
  <si>
    <t>STU0302</t>
  </si>
  <si>
    <t>Sanjay Sharma</t>
  </si>
  <si>
    <t>STU0303</t>
  </si>
  <si>
    <t>Vivek Kumar</t>
  </si>
  <si>
    <t>STU0304</t>
  </si>
  <si>
    <t>STU0305</t>
  </si>
  <si>
    <t>Harsh Verma</t>
  </si>
  <si>
    <t>STU0306</t>
  </si>
  <si>
    <t>Varun Kapoor</t>
  </si>
  <si>
    <t>STU0307</t>
  </si>
  <si>
    <t>Khushi Shah</t>
  </si>
  <si>
    <t>STU0308</t>
  </si>
  <si>
    <t>Lakshmi Gupta</t>
  </si>
  <si>
    <t>STU0309</t>
  </si>
  <si>
    <t>Ravi Mehta</t>
  </si>
  <si>
    <t>STU0310</t>
  </si>
  <si>
    <t>Mohit Chauhan</t>
  </si>
  <si>
    <t>STU0311</t>
  </si>
  <si>
    <t>Deepak Bose</t>
  </si>
  <si>
    <t>STU0312</t>
  </si>
  <si>
    <t>Rachna Yadav</t>
  </si>
  <si>
    <t>STU0313</t>
  </si>
  <si>
    <t>Priya Ghosh</t>
  </si>
  <si>
    <t>STU0314</t>
  </si>
  <si>
    <t>Yash Kumar</t>
  </si>
  <si>
    <t>STU0315</t>
  </si>
  <si>
    <t>Sneha Sharma</t>
  </si>
  <si>
    <t>STU0316</t>
  </si>
  <si>
    <t>STU0317</t>
  </si>
  <si>
    <t>Komal Dutta</t>
  </si>
  <si>
    <t>STU0318</t>
  </si>
  <si>
    <t>STU0319</t>
  </si>
  <si>
    <t>Shreya Kulkarni</t>
  </si>
  <si>
    <t>STU0320</t>
  </si>
  <si>
    <t>Rahul Sinha</t>
  </si>
  <si>
    <t>STU0321</t>
  </si>
  <si>
    <t>STU0322</t>
  </si>
  <si>
    <t>Gaurav Iyer</t>
  </si>
  <si>
    <t>STU0323</t>
  </si>
  <si>
    <t>Deepak Kumar</t>
  </si>
  <si>
    <t>STU0324</t>
  </si>
  <si>
    <t>Siddharth Ghosh</t>
  </si>
  <si>
    <t>STU0325</t>
  </si>
  <si>
    <t>STU0326</t>
  </si>
  <si>
    <t>STU0327</t>
  </si>
  <si>
    <t>STU0328</t>
  </si>
  <si>
    <t>Payal Patel</t>
  </si>
  <si>
    <t>STU0329</t>
  </si>
  <si>
    <t>Pooja Agarwal</t>
  </si>
  <si>
    <t>STU0330</t>
  </si>
  <si>
    <t>Rachna Singh</t>
  </si>
  <si>
    <t>STU0331</t>
  </si>
  <si>
    <t>Rahul Rao</t>
  </si>
  <si>
    <t>STU0332</t>
  </si>
  <si>
    <t>Gaurav Sinha</t>
  </si>
  <si>
    <t>STU0333</t>
  </si>
  <si>
    <t>Kavya Iyer</t>
  </si>
  <si>
    <t>STU0334</t>
  </si>
  <si>
    <t>Meera Dutta</t>
  </si>
  <si>
    <t>STU0335</t>
  </si>
  <si>
    <t>Abhishek Desai</t>
  </si>
  <si>
    <t>STU0336</t>
  </si>
  <si>
    <t>Mohit Kumar</t>
  </si>
  <si>
    <t>STU0337</t>
  </si>
  <si>
    <t>Rahul Chatterjee</t>
  </si>
  <si>
    <t>STU0338</t>
  </si>
  <si>
    <t>Ravi Sinha</t>
  </si>
  <si>
    <t>STU0339</t>
  </si>
  <si>
    <t>Tanvi Agarwal</t>
  </si>
  <si>
    <t>STU0340</t>
  </si>
  <si>
    <t>Anita Verma</t>
  </si>
  <si>
    <t>STU0341</t>
  </si>
  <si>
    <t>STU0342</t>
  </si>
  <si>
    <t>STU0343</t>
  </si>
  <si>
    <t>Ashok Verma</t>
  </si>
  <si>
    <t>STU0344</t>
  </si>
  <si>
    <t>Lakshmi Joshi</t>
  </si>
  <si>
    <t>STU0345</t>
  </si>
  <si>
    <t>Swati Chauhan</t>
  </si>
  <si>
    <t>STU0346</t>
  </si>
  <si>
    <t>Khushi Reddy</t>
  </si>
  <si>
    <t>STU0347</t>
  </si>
  <si>
    <t>Radhika Kapoor</t>
  </si>
  <si>
    <t>STU0348</t>
  </si>
  <si>
    <t>Kunal Desai</t>
  </si>
  <si>
    <t>STU0349</t>
  </si>
  <si>
    <t>STU0350</t>
  </si>
  <si>
    <t>Kunal Kulkarni</t>
  </si>
  <si>
    <t>STU0351</t>
  </si>
  <si>
    <t>Pooja Bose</t>
  </si>
  <si>
    <t>STU0352</t>
  </si>
  <si>
    <t>Anita Malhotra</t>
  </si>
  <si>
    <t>STU0353</t>
  </si>
  <si>
    <t>Arjun Ghosh</t>
  </si>
  <si>
    <t>STU0354</t>
  </si>
  <si>
    <t>STU0355</t>
  </si>
  <si>
    <t>Preeti Singh</t>
  </si>
  <si>
    <t>STU0356</t>
  </si>
  <si>
    <t>Payal Shah</t>
  </si>
  <si>
    <t>STU0357</t>
  </si>
  <si>
    <t>STU0358</t>
  </si>
  <si>
    <t>Bhavna Gupta</t>
  </si>
  <si>
    <t>STU0359</t>
  </si>
  <si>
    <t>Rachna Iyer</t>
  </si>
  <si>
    <t>STU0360</t>
  </si>
  <si>
    <t>STU0361</t>
  </si>
  <si>
    <t>Varun Agarwal</t>
  </si>
  <si>
    <t>STU0362</t>
  </si>
  <si>
    <t>Vivek Bansal</t>
  </si>
  <si>
    <t>STU0363</t>
  </si>
  <si>
    <t>Nikhil Agarwal</t>
  </si>
  <si>
    <t>STU0364</t>
  </si>
  <si>
    <t>Lakshmi Chandra</t>
  </si>
  <si>
    <t>STU0365</t>
  </si>
  <si>
    <t>Manoj Kumar</t>
  </si>
  <si>
    <t>STU0366</t>
  </si>
  <si>
    <t>Komal Menon</t>
  </si>
  <si>
    <t>STU0367</t>
  </si>
  <si>
    <t>Aditya Agarwal</t>
  </si>
  <si>
    <t>STU0368</t>
  </si>
  <si>
    <t>Ritu Gupta</t>
  </si>
  <si>
    <t>STU0369</t>
  </si>
  <si>
    <t>Meera Kulkarni</t>
  </si>
  <si>
    <t>STU0370</t>
  </si>
  <si>
    <t>Komal Chauhan</t>
  </si>
  <si>
    <t>STU0371</t>
  </si>
  <si>
    <t>STU0372</t>
  </si>
  <si>
    <t>STU0373</t>
  </si>
  <si>
    <t>Anjali Kumar</t>
  </si>
  <si>
    <t>STU0374</t>
  </si>
  <si>
    <t>Amit Chatterjee</t>
  </si>
  <si>
    <t>STU0375</t>
  </si>
  <si>
    <t>Preeti Chauhan</t>
  </si>
  <si>
    <t>STU0376</t>
  </si>
  <si>
    <t>Sandeep Dutta</t>
  </si>
  <si>
    <t>STU0377</t>
  </si>
  <si>
    <t>Sunita Agarwal</t>
  </si>
  <si>
    <t>STU0378</t>
  </si>
  <si>
    <t>Rajesh Mehta</t>
  </si>
  <si>
    <t>STU0379</t>
  </si>
  <si>
    <t>Vikram Chandra</t>
  </si>
  <si>
    <t>STU0380</t>
  </si>
  <si>
    <t>STU0381</t>
  </si>
  <si>
    <t>Deepak Kulkarni</t>
  </si>
  <si>
    <t>STU0382</t>
  </si>
  <si>
    <t>STU0383</t>
  </si>
  <si>
    <t>Varun Chatterjee</t>
  </si>
  <si>
    <t>STU0384</t>
  </si>
  <si>
    <t>STU0385</t>
  </si>
  <si>
    <t>Divya Iyer</t>
  </si>
  <si>
    <t>STU0386</t>
  </si>
  <si>
    <t>Sanjay Bansal</t>
  </si>
  <si>
    <t>STU0387</t>
  </si>
  <si>
    <t>Varun Yadav</t>
  </si>
  <si>
    <t>STU0388</t>
  </si>
  <si>
    <t>Neha Nair</t>
  </si>
  <si>
    <t>STU0389</t>
  </si>
  <si>
    <t>Komal Ghosh</t>
  </si>
  <si>
    <t>STU0390</t>
  </si>
  <si>
    <t>Lakshmi Mehta</t>
  </si>
  <si>
    <t>STU0391</t>
  </si>
  <si>
    <t>Ritu Desai</t>
  </si>
  <si>
    <t>STU0392</t>
  </si>
  <si>
    <t>Arjun Chauhan</t>
  </si>
  <si>
    <t>STU0393</t>
  </si>
  <si>
    <t>Nisha Desai</t>
  </si>
  <si>
    <t>STU0394</t>
  </si>
  <si>
    <t>Nikhil Bansal</t>
  </si>
  <si>
    <t>STU0395</t>
  </si>
  <si>
    <t>Meera Yadav</t>
  </si>
  <si>
    <t>STU0396</t>
  </si>
  <si>
    <t>Vikram Verma</t>
  </si>
  <si>
    <t>STU0397</t>
  </si>
  <si>
    <t>STU0398</t>
  </si>
  <si>
    <t>Suresh Menon</t>
  </si>
  <si>
    <t>STU0399</t>
  </si>
  <si>
    <t>Siddharth Nair</t>
  </si>
  <si>
    <t>STU0400</t>
  </si>
  <si>
    <t>Vikram Yadav</t>
  </si>
  <si>
    <t>STU0401</t>
  </si>
  <si>
    <t>Arjun Gupta</t>
  </si>
  <si>
    <t>STU0402</t>
  </si>
  <si>
    <t>Suman Menon</t>
  </si>
  <si>
    <t>STU0403</t>
  </si>
  <si>
    <t>Varun Naidu</t>
  </si>
  <si>
    <t>STU0404</t>
  </si>
  <si>
    <t>Bhavna Desai</t>
  </si>
  <si>
    <t>STU0405</t>
  </si>
  <si>
    <t>Sandeep Reddy</t>
  </si>
  <si>
    <t>STU0406</t>
  </si>
  <si>
    <t>Swati Patel</t>
  </si>
  <si>
    <t>STU0407</t>
  </si>
  <si>
    <t>Pranav Kulkarni</t>
  </si>
  <si>
    <t>STU0408</t>
  </si>
  <si>
    <t>Isha Shah</t>
  </si>
  <si>
    <t>STU0409</t>
  </si>
  <si>
    <t>Varun Kulkarni</t>
  </si>
  <si>
    <t>STU0410</t>
  </si>
  <si>
    <t>Karan Sinha</t>
  </si>
  <si>
    <t>STU0411</t>
  </si>
  <si>
    <t>Ravi Naidu</t>
  </si>
  <si>
    <t>STU0412</t>
  </si>
  <si>
    <t>STU0413</t>
  </si>
  <si>
    <t>STU0414</t>
  </si>
  <si>
    <t>Rohan Pandey</t>
  </si>
  <si>
    <t>STU0415</t>
  </si>
  <si>
    <t>Mohit Sharma</t>
  </si>
  <si>
    <t>STU0416</t>
  </si>
  <si>
    <t>Ravi Chauhan</t>
  </si>
  <si>
    <t>STU0417</t>
  </si>
  <si>
    <t>Payal Bansal</t>
  </si>
  <si>
    <t>STU0418</t>
  </si>
  <si>
    <t>Rachna Agarwal</t>
  </si>
  <si>
    <t>STU0419</t>
  </si>
  <si>
    <t>Divya Bansal</t>
  </si>
  <si>
    <t>STU0420</t>
  </si>
  <si>
    <t>Harsh Chatterjee</t>
  </si>
  <si>
    <t>STU0421</t>
  </si>
  <si>
    <t>STU0422</t>
  </si>
  <si>
    <t>STU0423</t>
  </si>
  <si>
    <t>Lakshmi Reddy</t>
  </si>
  <si>
    <t>STU0424</t>
  </si>
  <si>
    <t>Anil Yadav</t>
  </si>
  <si>
    <t>STU0425</t>
  </si>
  <si>
    <t>Sneha Menon</t>
  </si>
  <si>
    <t>STU0426</t>
  </si>
  <si>
    <t>Mohit Naidu</t>
  </si>
  <si>
    <t>STU0427</t>
  </si>
  <si>
    <t>Pooja Desai</t>
  </si>
  <si>
    <t>STU0428</t>
  </si>
  <si>
    <t>Payal Chandra</t>
  </si>
  <si>
    <t>STU0429</t>
  </si>
  <si>
    <t>STU0430</t>
  </si>
  <si>
    <t>Divya Sinha</t>
  </si>
  <si>
    <t>STU0431</t>
  </si>
  <si>
    <t>Priya Nair</t>
  </si>
  <si>
    <t>STU0432</t>
  </si>
  <si>
    <t>Priya Joshi</t>
  </si>
  <si>
    <t>STU0433</t>
  </si>
  <si>
    <t>Pranav Malhotra</t>
  </si>
  <si>
    <t>STU0434</t>
  </si>
  <si>
    <t>STU0435</t>
  </si>
  <si>
    <t>Siddharth Rao</t>
  </si>
  <si>
    <t>STU0436</t>
  </si>
  <si>
    <t>Bhavna Kapoor</t>
  </si>
  <si>
    <t>STU0437</t>
  </si>
  <si>
    <t>Kavya Dutta</t>
  </si>
  <si>
    <t>STU0438</t>
  </si>
  <si>
    <t>Vikram Ghosh</t>
  </si>
  <si>
    <t>STU0439</t>
  </si>
  <si>
    <t>Nikhil Dutta</t>
  </si>
  <si>
    <t>STU0440</t>
  </si>
  <si>
    <t>Meera Shah</t>
  </si>
  <si>
    <t>STU0441</t>
  </si>
  <si>
    <t>Tanvi Yadav</t>
  </si>
  <si>
    <t>STU0442</t>
  </si>
  <si>
    <t>Nikhil Sharma</t>
  </si>
  <si>
    <t>STU0443</t>
  </si>
  <si>
    <t>STU0444</t>
  </si>
  <si>
    <t>Khushi Verma</t>
  </si>
  <si>
    <t>STU0445</t>
  </si>
  <si>
    <t>Payal Mehta</t>
  </si>
  <si>
    <t>STU0446</t>
  </si>
  <si>
    <t>Kavya Reddy</t>
  </si>
  <si>
    <t>STU0447</t>
  </si>
  <si>
    <t>Deepika Yadav</t>
  </si>
  <si>
    <t>STU0448</t>
  </si>
  <si>
    <t>Neha Shah</t>
  </si>
  <si>
    <t>STU0449</t>
  </si>
  <si>
    <t>Rohan Nair</t>
  </si>
  <si>
    <t>STU0450</t>
  </si>
  <si>
    <t>Suresh Patel</t>
  </si>
  <si>
    <t>STU0451</t>
  </si>
  <si>
    <t>Sandeep Rao</t>
  </si>
  <si>
    <t>STU0452</t>
  </si>
  <si>
    <t>Shreya Bose</t>
  </si>
  <si>
    <t>STU0453</t>
  </si>
  <si>
    <t>Deepika Menon</t>
  </si>
  <si>
    <t>STU0454</t>
  </si>
  <si>
    <t>Tarun Mehta</t>
  </si>
  <si>
    <t>STU0455</t>
  </si>
  <si>
    <t>Gaurav Shah</t>
  </si>
  <si>
    <t>STU0456</t>
  </si>
  <si>
    <t>Payal Chauhan</t>
  </si>
  <si>
    <t>STU0457</t>
  </si>
  <si>
    <t>Kavya Bansal</t>
  </si>
  <si>
    <t>STU0458</t>
  </si>
  <si>
    <t>Radhika Agarwal</t>
  </si>
  <si>
    <t>STU0459</t>
  </si>
  <si>
    <t>Preeti Iyer</t>
  </si>
  <si>
    <t>STU0460</t>
  </si>
  <si>
    <t>Sanjay Ghosh</t>
  </si>
  <si>
    <t>STU0461</t>
  </si>
  <si>
    <t>Simran Sharma</t>
  </si>
  <si>
    <t>STU0462</t>
  </si>
  <si>
    <t>Deepika Pandey</t>
  </si>
  <si>
    <t>STU0463</t>
  </si>
  <si>
    <t>Suman Bansal</t>
  </si>
  <si>
    <t>STU0464</t>
  </si>
  <si>
    <t>Sneha Joshi</t>
  </si>
  <si>
    <t>STU0465</t>
  </si>
  <si>
    <t>STU0466</t>
  </si>
  <si>
    <t>Riya Chatterjee</t>
  </si>
  <si>
    <t>STU0467</t>
  </si>
  <si>
    <t>Gaurav Patel</t>
  </si>
  <si>
    <t>STU0468</t>
  </si>
  <si>
    <t>STU0469</t>
  </si>
  <si>
    <t>Kunal Dutta</t>
  </si>
  <si>
    <t>STU0470</t>
  </si>
  <si>
    <t>Neha Ghosh</t>
  </si>
  <si>
    <t>STU0471</t>
  </si>
  <si>
    <t>Aditya Singh</t>
  </si>
  <si>
    <t>STU0472</t>
  </si>
  <si>
    <t>Yash Rao</t>
  </si>
  <si>
    <t>STU0473</t>
  </si>
  <si>
    <t>Pranav Desai</t>
  </si>
  <si>
    <t>STU0474</t>
  </si>
  <si>
    <t>Pooja Dutta</t>
  </si>
  <si>
    <t>STU0475</t>
  </si>
  <si>
    <t>STU0476</t>
  </si>
  <si>
    <t>Abhishek Shah</t>
  </si>
  <si>
    <t>STU0477</t>
  </si>
  <si>
    <t>Ravi Kapoor</t>
  </si>
  <si>
    <t>STU0478</t>
  </si>
  <si>
    <t>STU0479</t>
  </si>
  <si>
    <t>Harsh Sinha</t>
  </si>
  <si>
    <t>STU0480</t>
  </si>
  <si>
    <t>STU0481</t>
  </si>
  <si>
    <t>Sanjay Desai</t>
  </si>
  <si>
    <t>STU0482</t>
  </si>
  <si>
    <t>STU0483</t>
  </si>
  <si>
    <t>Harsh Shah</t>
  </si>
  <si>
    <t>STU0484</t>
  </si>
  <si>
    <t>Anjali Dutta</t>
  </si>
  <si>
    <t>STU0485</t>
  </si>
  <si>
    <t>STU0486</t>
  </si>
  <si>
    <t>STU0487</t>
  </si>
  <si>
    <t>Deepak Rao</t>
  </si>
  <si>
    <t>STU0488</t>
  </si>
  <si>
    <t>Pooja Sinha</t>
  </si>
  <si>
    <t>STU0489</t>
  </si>
  <si>
    <t>Preeti Patel</t>
  </si>
  <si>
    <t>STU0490</t>
  </si>
  <si>
    <t>Vikram Singh</t>
  </si>
  <si>
    <t>STU0491</t>
  </si>
  <si>
    <t>STU0492</t>
  </si>
  <si>
    <t>Sneha Patel</t>
  </si>
  <si>
    <t>STU0493</t>
  </si>
  <si>
    <t>Siddharth Naidu</t>
  </si>
  <si>
    <t>STU0494</t>
  </si>
  <si>
    <t>Gaurav Rao</t>
  </si>
  <si>
    <t>STU0495</t>
  </si>
  <si>
    <t>Amit Agarwal</t>
  </si>
  <si>
    <t>STU0496</t>
  </si>
  <si>
    <t>Meera Mehta</t>
  </si>
  <si>
    <t>STU0497</t>
  </si>
  <si>
    <t>Rohan Yadav</t>
  </si>
  <si>
    <t>STU0498</t>
  </si>
  <si>
    <t>Deepika Agarwal</t>
  </si>
  <si>
    <t>STU0499</t>
  </si>
  <si>
    <t>Manisha Kapoor</t>
  </si>
  <si>
    <t>STU0500</t>
  </si>
  <si>
    <t>Tarun Yadav</t>
  </si>
  <si>
    <t>STU0501</t>
  </si>
  <si>
    <t>STU0502</t>
  </si>
  <si>
    <t>STU0503</t>
  </si>
  <si>
    <t>Sneha Reddy</t>
  </si>
  <si>
    <t>STU0504</t>
  </si>
  <si>
    <t>Harsh Iyer</t>
  </si>
  <si>
    <t>STU0505</t>
  </si>
  <si>
    <t>Nisha Bansal</t>
  </si>
  <si>
    <t>STU0506</t>
  </si>
  <si>
    <t>Bhavna Chatterjee</t>
  </si>
  <si>
    <t>STU0507</t>
  </si>
  <si>
    <t>Vikram Kumar</t>
  </si>
  <si>
    <t>STU0508</t>
  </si>
  <si>
    <t>Sandeep Kumar</t>
  </si>
  <si>
    <t>STU0509</t>
  </si>
  <si>
    <t>STU0510</t>
  </si>
  <si>
    <t>Aditya Chauhan</t>
  </si>
  <si>
    <t>STU0511</t>
  </si>
  <si>
    <t>Sanjay Malhotra</t>
  </si>
  <si>
    <t>STU0512</t>
  </si>
  <si>
    <t>STU0513</t>
  </si>
  <si>
    <t>Amit Kumar</t>
  </si>
  <si>
    <t>STU0514</t>
  </si>
  <si>
    <t>Simran Reddy</t>
  </si>
  <si>
    <t>STU0515</t>
  </si>
  <si>
    <t>Bhavna Yadav</t>
  </si>
  <si>
    <t>STU0516</t>
  </si>
  <si>
    <t>Divya Kapoor</t>
  </si>
  <si>
    <t>STU0517</t>
  </si>
  <si>
    <t>Swati Kulkarni</t>
  </si>
  <si>
    <t>STU0518</t>
  </si>
  <si>
    <t>STU0519</t>
  </si>
  <si>
    <t>STU0520</t>
  </si>
  <si>
    <t>Yash Kapoor</t>
  </si>
  <si>
    <t>STU0521</t>
  </si>
  <si>
    <t>Lakshmi Iyer</t>
  </si>
  <si>
    <t>STU0522</t>
  </si>
  <si>
    <t>STU0523</t>
  </si>
  <si>
    <t>Sanjay Dutta</t>
  </si>
  <si>
    <t>STU0524</t>
  </si>
  <si>
    <t>STU0525</t>
  </si>
  <si>
    <t>Vikram Bansal</t>
  </si>
  <si>
    <t>STU0526</t>
  </si>
  <si>
    <t>Siddharth Patel</t>
  </si>
  <si>
    <t>STU0527</t>
  </si>
  <si>
    <t>Lakshmi Shah</t>
  </si>
  <si>
    <t>STU0528</t>
  </si>
  <si>
    <t>Manisha Agarwal</t>
  </si>
  <si>
    <t>STU0529</t>
  </si>
  <si>
    <t>Pranav Dutta</t>
  </si>
  <si>
    <t>STU0530</t>
  </si>
  <si>
    <t>Ashok Menon</t>
  </si>
  <si>
    <t>STU0531</t>
  </si>
  <si>
    <t>STU0532</t>
  </si>
  <si>
    <t>Ravi Menon</t>
  </si>
  <si>
    <t>STU0533</t>
  </si>
  <si>
    <t>Anil Bansal</t>
  </si>
  <si>
    <t>STU0534</t>
  </si>
  <si>
    <t>Harsh Naidu</t>
  </si>
  <si>
    <t>STU0535</t>
  </si>
  <si>
    <t>Ankit Ghosh</t>
  </si>
  <si>
    <t>STU0536</t>
  </si>
  <si>
    <t>Arjun Desai</t>
  </si>
  <si>
    <t>STU0537</t>
  </si>
  <si>
    <t>Lakshmi Malhotra</t>
  </si>
  <si>
    <t>STU0538</t>
  </si>
  <si>
    <t>Ankit Gupta</t>
  </si>
  <si>
    <t>STU0539</t>
  </si>
  <si>
    <t>STU0540</t>
  </si>
  <si>
    <t>Tarun Ghosh</t>
  </si>
  <si>
    <t>STU0541</t>
  </si>
  <si>
    <t>STU0542</t>
  </si>
  <si>
    <t>Vikram Nair</t>
  </si>
  <si>
    <t>STU0543</t>
  </si>
  <si>
    <t>Payal Chatterjee</t>
  </si>
  <si>
    <t>STU0544</t>
  </si>
  <si>
    <t>Divya Kulkarni</t>
  </si>
  <si>
    <t>STU0545</t>
  </si>
  <si>
    <t>Manisha Joshi</t>
  </si>
  <si>
    <t>STU0546</t>
  </si>
  <si>
    <t>Naveen Reddy</t>
  </si>
  <si>
    <t>STU0547</t>
  </si>
  <si>
    <t>Yash Dutta</t>
  </si>
  <si>
    <t>STU0548</t>
  </si>
  <si>
    <t>Abhishek Pandey</t>
  </si>
  <si>
    <t>STU0549</t>
  </si>
  <si>
    <t>Aarti Mehta</t>
  </si>
  <si>
    <t>STU0550</t>
  </si>
  <si>
    <t>Anil Rao</t>
  </si>
  <si>
    <t>STU0551</t>
  </si>
  <si>
    <t>Kunal Kapoor</t>
  </si>
  <si>
    <t>STU0552</t>
  </si>
  <si>
    <t>Yash Desai</t>
  </si>
  <si>
    <t>STU0553</t>
  </si>
  <si>
    <t>Divya Pandey</t>
  </si>
  <si>
    <t>STU0554</t>
  </si>
  <si>
    <t>STU0555</t>
  </si>
  <si>
    <t>Sunita Malhotra</t>
  </si>
  <si>
    <t>STU0556</t>
  </si>
  <si>
    <t>Sanjay Reddy</t>
  </si>
  <si>
    <t>STU0557</t>
  </si>
  <si>
    <t>Rachna Joshi</t>
  </si>
  <si>
    <t>STU0558</t>
  </si>
  <si>
    <t>Neha Sharma</t>
  </si>
  <si>
    <t>STU0559</t>
  </si>
  <si>
    <t>Deepika Sinha</t>
  </si>
  <si>
    <t>STU0560</t>
  </si>
  <si>
    <t>STU0561</t>
  </si>
  <si>
    <t>Rajesh Verma</t>
  </si>
  <si>
    <t>STU0562</t>
  </si>
  <si>
    <t>Varun Desai</t>
  </si>
  <si>
    <t>STU0563</t>
  </si>
  <si>
    <t>Ritu Joshi</t>
  </si>
  <si>
    <t>STU0564</t>
  </si>
  <si>
    <t>Aditya Bansal</t>
  </si>
  <si>
    <t>STU0565</t>
  </si>
  <si>
    <t>STU0566</t>
  </si>
  <si>
    <t>Bhavna Sharma</t>
  </si>
  <si>
    <t>STU0567</t>
  </si>
  <si>
    <t>Rohan Joshi</t>
  </si>
  <si>
    <t>STU0568</t>
  </si>
  <si>
    <t>Tanvi Singh</t>
  </si>
  <si>
    <t>STU0569</t>
  </si>
  <si>
    <t>Isha Chatterjee</t>
  </si>
  <si>
    <t>STU0570</t>
  </si>
  <si>
    <t>Shreya Ghosh</t>
  </si>
  <si>
    <t>STU0571</t>
  </si>
  <si>
    <t>Amit Chauhan</t>
  </si>
  <si>
    <t>STU0572</t>
  </si>
  <si>
    <t>Harsh Kulkarni</t>
  </si>
  <si>
    <t>STU0573</t>
  </si>
  <si>
    <t>STU0574</t>
  </si>
  <si>
    <t>STU0575</t>
  </si>
  <si>
    <t>Deepika Sharma</t>
  </si>
  <si>
    <t>STU0576</t>
  </si>
  <si>
    <t>Vikram Gupta</t>
  </si>
  <si>
    <t>STU0577</t>
  </si>
  <si>
    <t>Karan Kumar</t>
  </si>
  <si>
    <t>STU0578</t>
  </si>
  <si>
    <t>Priya Dutta</t>
  </si>
  <si>
    <t>STU0579</t>
  </si>
  <si>
    <t>STU0580</t>
  </si>
  <si>
    <t>Nisha Chandra</t>
  </si>
  <si>
    <t>STU0581</t>
  </si>
  <si>
    <t>Aditya Verma</t>
  </si>
  <si>
    <t>STU0582</t>
  </si>
  <si>
    <t>Komal Kumar</t>
  </si>
  <si>
    <t>STU0583</t>
  </si>
  <si>
    <t>Abhishek Dutta</t>
  </si>
  <si>
    <t>STU0584</t>
  </si>
  <si>
    <t>Divya Bose</t>
  </si>
  <si>
    <t>STU0585</t>
  </si>
  <si>
    <t>Ashok Dutta</t>
  </si>
  <si>
    <t>STU0586</t>
  </si>
  <si>
    <t>Payal Yadav</t>
  </si>
  <si>
    <t>STU0587</t>
  </si>
  <si>
    <t>Simran Yadav</t>
  </si>
  <si>
    <t>STU0588</t>
  </si>
  <si>
    <t>STU0589</t>
  </si>
  <si>
    <t>Divya Nair</t>
  </si>
  <si>
    <t>STU0590</t>
  </si>
  <si>
    <t>Meera Rao</t>
  </si>
  <si>
    <t>STU0591</t>
  </si>
  <si>
    <t>Gaurav Desai</t>
  </si>
  <si>
    <t>STU0592</t>
  </si>
  <si>
    <t>Naveen Bose</t>
  </si>
  <si>
    <t>STU0593</t>
  </si>
  <si>
    <t>STU0594</t>
  </si>
  <si>
    <t>Manisha Patel</t>
  </si>
  <si>
    <t>STU0595</t>
  </si>
  <si>
    <t>STU0596</t>
  </si>
  <si>
    <t>Sanjay Rao</t>
  </si>
  <si>
    <t>STU0597</t>
  </si>
  <si>
    <t>Meera Chauhan</t>
  </si>
  <si>
    <t>STU0598</t>
  </si>
  <si>
    <t>Pooja Malhotra</t>
  </si>
  <si>
    <t>STU0599</t>
  </si>
  <si>
    <t>STU0600</t>
  </si>
  <si>
    <t>Ravi Bansal</t>
  </si>
  <si>
    <t>STU0601</t>
  </si>
  <si>
    <t>STU0602</t>
  </si>
  <si>
    <t>STU0603</t>
  </si>
  <si>
    <t>Anil Sinha</t>
  </si>
  <si>
    <t>STU0604</t>
  </si>
  <si>
    <t>STU0605</t>
  </si>
  <si>
    <t>Sneha Rao</t>
  </si>
  <si>
    <t>STU0606</t>
  </si>
  <si>
    <t>STU0607</t>
  </si>
  <si>
    <t>Anita Nair</t>
  </si>
  <si>
    <t>STU0608</t>
  </si>
  <si>
    <t>Preeti Bose</t>
  </si>
  <si>
    <t>STU0609</t>
  </si>
  <si>
    <t>Preeti Nair</t>
  </si>
  <si>
    <t>STU0610</t>
  </si>
  <si>
    <t>STU0611</t>
  </si>
  <si>
    <t>Siddharth Reddy</t>
  </si>
  <si>
    <t>STU0612</t>
  </si>
  <si>
    <t>Abhishek Patel</t>
  </si>
  <si>
    <t>STU0613</t>
  </si>
  <si>
    <t>Sandeep Bose</t>
  </si>
  <si>
    <t>STU0614</t>
  </si>
  <si>
    <t>Nisha Agarwal</t>
  </si>
  <si>
    <t>STU0615</t>
  </si>
  <si>
    <t>STU0616</t>
  </si>
  <si>
    <t>Ravi Bose</t>
  </si>
  <si>
    <t>STU0617</t>
  </si>
  <si>
    <t>Suman Rao</t>
  </si>
  <si>
    <t>STU0618</t>
  </si>
  <si>
    <t>Ankit Chandra</t>
  </si>
  <si>
    <t>STU0619</t>
  </si>
  <si>
    <t>STU0620</t>
  </si>
  <si>
    <t>Mohit Chandra</t>
  </si>
  <si>
    <t>STU0621</t>
  </si>
  <si>
    <t>Bhavna Kumar</t>
  </si>
  <si>
    <t>STU0622</t>
  </si>
  <si>
    <t>Kavya Agarwal</t>
  </si>
  <si>
    <t>STU0623</t>
  </si>
  <si>
    <t>Sneha Agarwal</t>
  </si>
  <si>
    <t>STU0624</t>
  </si>
  <si>
    <t>Rajesh Malhotra</t>
  </si>
  <si>
    <t>STU0625</t>
  </si>
  <si>
    <t>STU0626</t>
  </si>
  <si>
    <t>Nisha Chauhan</t>
  </si>
  <si>
    <t>STU0627</t>
  </si>
  <si>
    <t>Priya Malhotra</t>
  </si>
  <si>
    <t>STU0628</t>
  </si>
  <si>
    <t>Kunal Chauhan</t>
  </si>
  <si>
    <t>STU0629</t>
  </si>
  <si>
    <t>Deepika Ghosh</t>
  </si>
  <si>
    <t>STU0630</t>
  </si>
  <si>
    <t>STU0631</t>
  </si>
  <si>
    <t>Neha Rao</t>
  </si>
  <si>
    <t>STU0632</t>
  </si>
  <si>
    <t>STU0633</t>
  </si>
  <si>
    <t>Payal Bose</t>
  </si>
  <si>
    <t>STU0634</t>
  </si>
  <si>
    <t>Suman Ghosh</t>
  </si>
  <si>
    <t>STU0635</t>
  </si>
  <si>
    <t>STU0636</t>
  </si>
  <si>
    <t>STU0637</t>
  </si>
  <si>
    <t>Radhika Chauhan</t>
  </si>
  <si>
    <t>STU0638</t>
  </si>
  <si>
    <t>Rohan Kapoor</t>
  </si>
  <si>
    <t>STU0639</t>
  </si>
  <si>
    <t>Deepika Verma</t>
  </si>
  <si>
    <t>STU0640</t>
  </si>
  <si>
    <t>Siddharth Malhotra</t>
  </si>
  <si>
    <t>STU0641</t>
  </si>
  <si>
    <t>Meera Singh</t>
  </si>
  <si>
    <t>STU0642</t>
  </si>
  <si>
    <t>Karan Naidu</t>
  </si>
  <si>
    <t>STU0643</t>
  </si>
  <si>
    <t>STU0644</t>
  </si>
  <si>
    <t>Amit Shah</t>
  </si>
  <si>
    <t>STU0645</t>
  </si>
  <si>
    <t>STU0646</t>
  </si>
  <si>
    <t>STU0647</t>
  </si>
  <si>
    <t>Yash Mehta</t>
  </si>
  <si>
    <t>STU0648</t>
  </si>
  <si>
    <t>STU0649</t>
  </si>
  <si>
    <t>Manisha Sinha</t>
  </si>
  <si>
    <t>STU0650</t>
  </si>
  <si>
    <t>STU0651</t>
  </si>
  <si>
    <t>STU0652</t>
  </si>
  <si>
    <t>Isha Yadav</t>
  </si>
  <si>
    <t>STU0653</t>
  </si>
  <si>
    <t>Varun Nair</t>
  </si>
  <si>
    <t>STU0654</t>
  </si>
  <si>
    <t>STU0655</t>
  </si>
  <si>
    <t>Arjun Reddy</t>
  </si>
  <si>
    <t>STU0656</t>
  </si>
  <si>
    <t>Sunita Shah</t>
  </si>
  <si>
    <t>STU0657</t>
  </si>
  <si>
    <t>STU0658</t>
  </si>
  <si>
    <t>Isha Patel</t>
  </si>
  <si>
    <t>STU0659</t>
  </si>
  <si>
    <t>Pranav Ghosh</t>
  </si>
  <si>
    <t>STU0660</t>
  </si>
  <si>
    <t>Tanvi Chauhan</t>
  </si>
  <si>
    <t>STU0661</t>
  </si>
  <si>
    <t>Manoj Singh</t>
  </si>
  <si>
    <t>STU0662</t>
  </si>
  <si>
    <t>Ashok Kumar</t>
  </si>
  <si>
    <t>STU0663</t>
  </si>
  <si>
    <t>Radhika Gupta</t>
  </si>
  <si>
    <t>STU0664</t>
  </si>
  <si>
    <t>STU0665</t>
  </si>
  <si>
    <t>Swati Rao</t>
  </si>
  <si>
    <t>STU0666</t>
  </si>
  <si>
    <t>STU0667</t>
  </si>
  <si>
    <t>STU0668</t>
  </si>
  <si>
    <t>Tarun Menon</t>
  </si>
  <si>
    <t>STU0669</t>
  </si>
  <si>
    <t>Deepak Gupta</t>
  </si>
  <si>
    <t>STU0670</t>
  </si>
  <si>
    <t>Harsh Chauhan</t>
  </si>
  <si>
    <t>STU0671</t>
  </si>
  <si>
    <t>STU0672</t>
  </si>
  <si>
    <t>STU0673</t>
  </si>
  <si>
    <t>Divya Kumar</t>
  </si>
  <si>
    <t>STU0674</t>
  </si>
  <si>
    <t>Karan Gupta</t>
  </si>
  <si>
    <t>STU0675</t>
  </si>
  <si>
    <t>Meera Joshi</t>
  </si>
  <si>
    <t>STU0676</t>
  </si>
  <si>
    <t>STU0677</t>
  </si>
  <si>
    <t>STU0678</t>
  </si>
  <si>
    <t>Nikhil Mehta</t>
  </si>
  <si>
    <t>STU0679</t>
  </si>
  <si>
    <t>Suresh Agarwal</t>
  </si>
  <si>
    <t>STU0680</t>
  </si>
  <si>
    <t>Nikhil Shah</t>
  </si>
  <si>
    <t>STU0681</t>
  </si>
  <si>
    <t>STU0682</t>
  </si>
  <si>
    <t>STU0683</t>
  </si>
  <si>
    <t>Vikram Sharma</t>
  </si>
  <si>
    <t>STU0684</t>
  </si>
  <si>
    <t>Aditya Mehta</t>
  </si>
  <si>
    <t>STU0685</t>
  </si>
  <si>
    <t>Payal Agarwal</t>
  </si>
  <si>
    <t>STU0686</t>
  </si>
  <si>
    <t>Nikhil Ghosh</t>
  </si>
  <si>
    <t>STU0687</t>
  </si>
  <si>
    <t>STU0688</t>
  </si>
  <si>
    <t>Ritu Yadav</t>
  </si>
  <si>
    <t>STU0689</t>
  </si>
  <si>
    <t>Aarti Bose</t>
  </si>
  <si>
    <t>STU0690</t>
  </si>
  <si>
    <t>Sanjay Sinha</t>
  </si>
  <si>
    <t>STU0691</t>
  </si>
  <si>
    <t>STU0692</t>
  </si>
  <si>
    <t>Manisha Nair</t>
  </si>
  <si>
    <t>STU0693</t>
  </si>
  <si>
    <t>Rahul Menon</t>
  </si>
  <si>
    <t>STU0694</t>
  </si>
  <si>
    <t>Anil Singh</t>
  </si>
  <si>
    <t>STU0695</t>
  </si>
  <si>
    <t>Priya Reddy</t>
  </si>
  <si>
    <t>STU0696</t>
  </si>
  <si>
    <t>Vikram Chauhan</t>
  </si>
  <si>
    <t>STU0697</t>
  </si>
  <si>
    <t>Anil Malhotra</t>
  </si>
  <si>
    <t>STU0698</t>
  </si>
  <si>
    <t>STU0699</t>
  </si>
  <si>
    <t>STU0700</t>
  </si>
  <si>
    <t>Rahul Joshi</t>
  </si>
  <si>
    <t>STU0701</t>
  </si>
  <si>
    <t>Nisha Singh</t>
  </si>
  <si>
    <t>STU0702</t>
  </si>
  <si>
    <t>STU0703</t>
  </si>
  <si>
    <t>STU0704</t>
  </si>
  <si>
    <t>Rahul Desai</t>
  </si>
  <si>
    <t>STU0705</t>
  </si>
  <si>
    <t>Bhavna Dutta</t>
  </si>
  <si>
    <t>STU0706</t>
  </si>
  <si>
    <t>Meera Kapoor</t>
  </si>
  <si>
    <t>STU0707</t>
  </si>
  <si>
    <t>STU0708</t>
  </si>
  <si>
    <t>Riya Kapoor</t>
  </si>
  <si>
    <t>STU0709</t>
  </si>
  <si>
    <t>STU0710</t>
  </si>
  <si>
    <t>Rahul Agarwal</t>
  </si>
  <si>
    <t>STU0711</t>
  </si>
  <si>
    <t>STU0712</t>
  </si>
  <si>
    <t>Ankit Nair</t>
  </si>
  <si>
    <t>STU0713</t>
  </si>
  <si>
    <t>Naveen Verma</t>
  </si>
  <si>
    <t>STU0714</t>
  </si>
  <si>
    <t>Pranav Sharma</t>
  </si>
  <si>
    <t>STU0715</t>
  </si>
  <si>
    <t>Suman Desai</t>
  </si>
  <si>
    <t>STU0716</t>
  </si>
  <si>
    <t>Suresh Chatterjee</t>
  </si>
  <si>
    <t>STU0717</t>
  </si>
  <si>
    <t>Bhavna Chandra</t>
  </si>
  <si>
    <t>STU0718</t>
  </si>
  <si>
    <t>Aditya Sinha</t>
  </si>
  <si>
    <t>STU0719</t>
  </si>
  <si>
    <t>STU0720</t>
  </si>
  <si>
    <t>Vikram Rao</t>
  </si>
  <si>
    <t>STU0721</t>
  </si>
  <si>
    <t>STU0722</t>
  </si>
  <si>
    <t>Anjali Ghosh</t>
  </si>
  <si>
    <t>STU0723</t>
  </si>
  <si>
    <t>Rahul Kumar</t>
  </si>
  <si>
    <t>STU0724</t>
  </si>
  <si>
    <t>Deepak Yadav</t>
  </si>
  <si>
    <t>STU0725</t>
  </si>
  <si>
    <t>STU0726</t>
  </si>
  <si>
    <t>Sandeep Sharma</t>
  </si>
  <si>
    <t>STU0727</t>
  </si>
  <si>
    <t>Radhika Iyer</t>
  </si>
  <si>
    <t>STU0728</t>
  </si>
  <si>
    <t>Anita Patel</t>
  </si>
  <si>
    <t>STU0729</t>
  </si>
  <si>
    <t>Anil Pandey</t>
  </si>
  <si>
    <t>STU0730</t>
  </si>
  <si>
    <t>Anita Rao</t>
  </si>
  <si>
    <t>STU0731</t>
  </si>
  <si>
    <t>Sunita Sharma</t>
  </si>
  <si>
    <t>STU0732</t>
  </si>
  <si>
    <t>STU0733</t>
  </si>
  <si>
    <t>STU0734</t>
  </si>
  <si>
    <t>STU0735</t>
  </si>
  <si>
    <t>Anil Menon</t>
  </si>
  <si>
    <t>STU0736</t>
  </si>
  <si>
    <t>Aarti Chatterjee</t>
  </si>
  <si>
    <t>STU0737</t>
  </si>
  <si>
    <t>Neha Menon</t>
  </si>
  <si>
    <t>STU0738</t>
  </si>
  <si>
    <t>Karan Bansal</t>
  </si>
  <si>
    <t>STU0739</t>
  </si>
  <si>
    <t>Meera Malhotra</t>
  </si>
  <si>
    <t>STU0740</t>
  </si>
  <si>
    <t>STU0741</t>
  </si>
  <si>
    <t>STU0742</t>
  </si>
  <si>
    <t>STU0743</t>
  </si>
  <si>
    <t>STU0744</t>
  </si>
  <si>
    <t>Tarun Nair</t>
  </si>
  <si>
    <t>STU0745</t>
  </si>
  <si>
    <t>Sneha Naidu</t>
  </si>
  <si>
    <t>STU0746</t>
  </si>
  <si>
    <t>Aarti Kumar</t>
  </si>
  <si>
    <t>STU0747</t>
  </si>
  <si>
    <t>Bhavna Singh</t>
  </si>
  <si>
    <t>STU0748</t>
  </si>
  <si>
    <t>STU0749</t>
  </si>
  <si>
    <t>STU0750</t>
  </si>
  <si>
    <t>Radhika Menon</t>
  </si>
  <si>
    <t>STU0751</t>
  </si>
  <si>
    <t>Harsh Kapoor</t>
  </si>
  <si>
    <t>STU0752</t>
  </si>
  <si>
    <t>Payal Rao</t>
  </si>
  <si>
    <t>STU0753</t>
  </si>
  <si>
    <t>STU0754</t>
  </si>
  <si>
    <t>Siddharth Agarwal</t>
  </si>
  <si>
    <t>STU0755</t>
  </si>
  <si>
    <t>STU0756</t>
  </si>
  <si>
    <t>Kavya Verma</t>
  </si>
  <si>
    <t>STU0757</t>
  </si>
  <si>
    <t>Pranav Joshi</t>
  </si>
  <si>
    <t>STU0758</t>
  </si>
  <si>
    <t>Ankit Joshi</t>
  </si>
  <si>
    <t>STU0759</t>
  </si>
  <si>
    <t>Riya Naidu</t>
  </si>
  <si>
    <t>STU0760</t>
  </si>
  <si>
    <t>STU0761</t>
  </si>
  <si>
    <t>STU0762</t>
  </si>
  <si>
    <t>STU0763</t>
  </si>
  <si>
    <t>Khushi Agarwal</t>
  </si>
  <si>
    <t>STU0764</t>
  </si>
  <si>
    <t>STU0765</t>
  </si>
  <si>
    <t>Lakshmi Nair</t>
  </si>
  <si>
    <t>STU0766</t>
  </si>
  <si>
    <t>STU0767</t>
  </si>
  <si>
    <t>Meera Reddy</t>
  </si>
  <si>
    <t>STU0768</t>
  </si>
  <si>
    <t>Yash Bansal</t>
  </si>
  <si>
    <t>STU0769</t>
  </si>
  <si>
    <t>Siddharth Chandra</t>
  </si>
  <si>
    <t>STU0770</t>
  </si>
  <si>
    <t>Yash Nair</t>
  </si>
  <si>
    <t>STU0771</t>
  </si>
  <si>
    <t>STU0772</t>
  </si>
  <si>
    <t>Varun Sinha</t>
  </si>
  <si>
    <t>STU0773</t>
  </si>
  <si>
    <t>Komal Singh</t>
  </si>
  <si>
    <t>STU0774</t>
  </si>
  <si>
    <t>Komal Pandey</t>
  </si>
  <si>
    <t>STU0775</t>
  </si>
  <si>
    <t>STU0776</t>
  </si>
  <si>
    <t>Neha Bose</t>
  </si>
  <si>
    <t>STU0777</t>
  </si>
  <si>
    <t>Komal Yadav</t>
  </si>
  <si>
    <t>STU0778</t>
  </si>
  <si>
    <t>STU0779</t>
  </si>
  <si>
    <t>Shreya Singh</t>
  </si>
  <si>
    <t>STU0780</t>
  </si>
  <si>
    <t>Payal Menon</t>
  </si>
  <si>
    <t>STU0781</t>
  </si>
  <si>
    <t>Aarti Pandey</t>
  </si>
  <si>
    <t>STU0782</t>
  </si>
  <si>
    <t>STU0783</t>
  </si>
  <si>
    <t>Ankit Chauhan</t>
  </si>
  <si>
    <t>STU0784</t>
  </si>
  <si>
    <t>Deepika Gupta</t>
  </si>
  <si>
    <t>STU0785</t>
  </si>
  <si>
    <t>Mohit Malhotra</t>
  </si>
  <si>
    <t>STU0786</t>
  </si>
  <si>
    <t>STU0787</t>
  </si>
  <si>
    <t>Simran Naidu</t>
  </si>
  <si>
    <t>STU0788</t>
  </si>
  <si>
    <t>Gaurav Agarwal</t>
  </si>
  <si>
    <t>STU0789</t>
  </si>
  <si>
    <t>Karan Agarwal</t>
  </si>
  <si>
    <t>STU0790</t>
  </si>
  <si>
    <t>Naveen Menon</t>
  </si>
  <si>
    <t>STU0791</t>
  </si>
  <si>
    <t>STU0792</t>
  </si>
  <si>
    <t>Deepak Menon</t>
  </si>
  <si>
    <t>STU0793</t>
  </si>
  <si>
    <t>STU0794</t>
  </si>
  <si>
    <t>Arjun Sinha</t>
  </si>
  <si>
    <t>STU0795</t>
  </si>
  <si>
    <t>Amit Chandra</t>
  </si>
  <si>
    <t>STU0796</t>
  </si>
  <si>
    <t>STU0797</t>
  </si>
  <si>
    <t>STU0798</t>
  </si>
  <si>
    <t>STU0799</t>
  </si>
  <si>
    <t>Rahul Ghosh</t>
  </si>
  <si>
    <t>STU0800</t>
  </si>
  <si>
    <t>Shreya Verma</t>
  </si>
  <si>
    <t>STU0801</t>
  </si>
  <si>
    <t>Meera Bose</t>
  </si>
  <si>
    <t>STU0802</t>
  </si>
  <si>
    <t>Karan Kulkarni</t>
  </si>
  <si>
    <t>STU0803</t>
  </si>
  <si>
    <t>Swati Gupta</t>
  </si>
  <si>
    <t>STU0804</t>
  </si>
  <si>
    <t>Yash Singh</t>
  </si>
  <si>
    <t>STU0805</t>
  </si>
  <si>
    <t>STU0806</t>
  </si>
  <si>
    <t>Riya Gupta</t>
  </si>
  <si>
    <t>STU0807</t>
  </si>
  <si>
    <t>STU0808</t>
  </si>
  <si>
    <t>Ravi Malhotra</t>
  </si>
  <si>
    <t>STU0809</t>
  </si>
  <si>
    <t>STU0810</t>
  </si>
  <si>
    <t>Varun Shah</t>
  </si>
  <si>
    <t>STU0811</t>
  </si>
  <si>
    <t>STU0812</t>
  </si>
  <si>
    <t>STU0813</t>
  </si>
  <si>
    <t>Vivek Nair</t>
  </si>
  <si>
    <t>STU0814</t>
  </si>
  <si>
    <t>Ritu Chatterjee</t>
  </si>
  <si>
    <t>STU0815</t>
  </si>
  <si>
    <t>Pooja Kulkarni</t>
  </si>
  <si>
    <t>STU0816</t>
  </si>
  <si>
    <t>Manisha Chauhan</t>
  </si>
  <si>
    <t>STU0817</t>
  </si>
  <si>
    <t>Mohit Bansal</t>
  </si>
  <si>
    <t>STU0818</t>
  </si>
  <si>
    <t>STU0819</t>
  </si>
  <si>
    <t>Ashok Chauhan</t>
  </si>
  <si>
    <t>STU0820</t>
  </si>
  <si>
    <t>STU0821</t>
  </si>
  <si>
    <t>Rohan Rao</t>
  </si>
  <si>
    <t>STU0822</t>
  </si>
  <si>
    <t>Nisha Bose</t>
  </si>
  <si>
    <t>STU0823</t>
  </si>
  <si>
    <t>Varun Patel</t>
  </si>
  <si>
    <t>STU0824</t>
  </si>
  <si>
    <t>Karan Reddy</t>
  </si>
  <si>
    <t>STU0825</t>
  </si>
  <si>
    <t>STU0826</t>
  </si>
  <si>
    <t>STU0827</t>
  </si>
  <si>
    <t>Sunita Iyer</t>
  </si>
  <si>
    <t>STU0828</t>
  </si>
  <si>
    <t>Nisha Nair</t>
  </si>
  <si>
    <t>STU0829</t>
  </si>
  <si>
    <t>Kavya Ghosh</t>
  </si>
  <si>
    <t>STU0830</t>
  </si>
  <si>
    <t>Harsh Malhotra</t>
  </si>
  <si>
    <t>STU0831</t>
  </si>
  <si>
    <t>Karan Mehta</t>
  </si>
  <si>
    <t>STU0832</t>
  </si>
  <si>
    <t>STU0833</t>
  </si>
  <si>
    <t>Ashok Nair</t>
  </si>
  <si>
    <t>STU0834</t>
  </si>
  <si>
    <t>Anjali Chandra</t>
  </si>
  <si>
    <t>STU0835</t>
  </si>
  <si>
    <t>STU0836</t>
  </si>
  <si>
    <t>Yash Joshi</t>
  </si>
  <si>
    <t>STU0837</t>
  </si>
  <si>
    <t>STU0838</t>
  </si>
  <si>
    <t>Neha Chandra</t>
  </si>
  <si>
    <t>STU0839</t>
  </si>
  <si>
    <t>Neha Joshi</t>
  </si>
  <si>
    <t>STU0840</t>
  </si>
  <si>
    <t>STU0841</t>
  </si>
  <si>
    <t>STU0842</t>
  </si>
  <si>
    <t>STU0843</t>
  </si>
  <si>
    <t>STU0844</t>
  </si>
  <si>
    <t>Priya Chandra</t>
  </si>
  <si>
    <t>STU0845</t>
  </si>
  <si>
    <t>Suresh Verma</t>
  </si>
  <si>
    <t>STU0846</t>
  </si>
  <si>
    <t>STU0847</t>
  </si>
  <si>
    <t>STU0848</t>
  </si>
  <si>
    <t>STU0849</t>
  </si>
  <si>
    <t>Ritu Reddy</t>
  </si>
  <si>
    <t>STU0850</t>
  </si>
  <si>
    <t>STU0851</t>
  </si>
  <si>
    <t>STU0852</t>
  </si>
  <si>
    <t>STU0853</t>
  </si>
  <si>
    <t>Bhavna Naidu</t>
  </si>
  <si>
    <t>STU0854</t>
  </si>
  <si>
    <t>STU0855</t>
  </si>
  <si>
    <t>STU0856</t>
  </si>
  <si>
    <t>STU0857</t>
  </si>
  <si>
    <t>Anjali Menon</t>
  </si>
  <si>
    <t>STU0858</t>
  </si>
  <si>
    <t>Lakshmi Desai</t>
  </si>
  <si>
    <t>STU0859</t>
  </si>
  <si>
    <t>Suresh Sharma</t>
  </si>
  <si>
    <t>STU0860</t>
  </si>
  <si>
    <t>STU0861</t>
  </si>
  <si>
    <t>Abhishek Reddy</t>
  </si>
  <si>
    <t>STU0862</t>
  </si>
  <si>
    <t>Ravi Patel</t>
  </si>
  <si>
    <t>STU0863</t>
  </si>
  <si>
    <t>STU0864</t>
  </si>
  <si>
    <t>Vikram Menon</t>
  </si>
  <si>
    <t>STU0865</t>
  </si>
  <si>
    <t>Yash Sinha</t>
  </si>
  <si>
    <t>STU0866</t>
  </si>
  <si>
    <t>Rahul Bansal</t>
  </si>
  <si>
    <t>STU0867</t>
  </si>
  <si>
    <t>STU0868</t>
  </si>
  <si>
    <t>Payal Nair</t>
  </si>
  <si>
    <t>STU0869</t>
  </si>
  <si>
    <t>Simran Menon</t>
  </si>
  <si>
    <t>STU0870</t>
  </si>
  <si>
    <t>Varun Menon</t>
  </si>
  <si>
    <t>STU0871</t>
  </si>
  <si>
    <t>STU0872</t>
  </si>
  <si>
    <t>Yash Shah</t>
  </si>
  <si>
    <t>STU0873</t>
  </si>
  <si>
    <t>Sneha Mehta</t>
  </si>
  <si>
    <t>STU0874</t>
  </si>
  <si>
    <t>STU0875</t>
  </si>
  <si>
    <t>Tanvi Reddy</t>
  </si>
  <si>
    <t>STU0876</t>
  </si>
  <si>
    <t>Amit Sinha</t>
  </si>
  <si>
    <t>STU0877</t>
  </si>
  <si>
    <t>Anjali Nair</t>
  </si>
  <si>
    <t>STU0878</t>
  </si>
  <si>
    <t>STU0879</t>
  </si>
  <si>
    <t>Kunal Pandey</t>
  </si>
  <si>
    <t>STU0880</t>
  </si>
  <si>
    <t>Nisha Pandey</t>
  </si>
  <si>
    <t>STU0881</t>
  </si>
  <si>
    <t>Swati Sharma</t>
  </si>
  <si>
    <t>STU0882</t>
  </si>
  <si>
    <t>STU0883</t>
  </si>
  <si>
    <t>STU0884</t>
  </si>
  <si>
    <t>Kunal Patel</t>
  </si>
  <si>
    <t>STU0885</t>
  </si>
  <si>
    <t>Siddharth Mehta</t>
  </si>
  <si>
    <t>STU0886</t>
  </si>
  <si>
    <t>Sneha Iyer</t>
  </si>
  <si>
    <t>STU0887</t>
  </si>
  <si>
    <t>Riya Chandra</t>
  </si>
  <si>
    <t>STU0888</t>
  </si>
  <si>
    <t>Mohit Joshi</t>
  </si>
  <si>
    <t>STU0889</t>
  </si>
  <si>
    <t>STU0890</t>
  </si>
  <si>
    <t>STU0891</t>
  </si>
  <si>
    <t>Aditya Desai</t>
  </si>
  <si>
    <t>STU0892</t>
  </si>
  <si>
    <t>STU0893</t>
  </si>
  <si>
    <t>STU0894</t>
  </si>
  <si>
    <t>Pranav Chauhan</t>
  </si>
  <si>
    <t>STU0895</t>
  </si>
  <si>
    <t>STU0896</t>
  </si>
  <si>
    <t>STU0897</t>
  </si>
  <si>
    <t>STU0898</t>
  </si>
  <si>
    <t>Preeti Verma</t>
  </si>
  <si>
    <t>STU0899</t>
  </si>
  <si>
    <t>Mohit Menon</t>
  </si>
  <si>
    <t>STU0900</t>
  </si>
  <si>
    <t>STU0901</t>
  </si>
  <si>
    <t>STU0902</t>
  </si>
  <si>
    <t>Varun Singh</t>
  </si>
  <si>
    <t>STU0903</t>
  </si>
  <si>
    <t>STU0904</t>
  </si>
  <si>
    <t>STU0905</t>
  </si>
  <si>
    <t>Rachna Desai</t>
  </si>
  <si>
    <t>STU0906</t>
  </si>
  <si>
    <t>STU0907</t>
  </si>
  <si>
    <t>Radhika Singh</t>
  </si>
  <si>
    <t>STU0908</t>
  </si>
  <si>
    <t>STU0909</t>
  </si>
  <si>
    <t>STU0910</t>
  </si>
  <si>
    <t>Manisha Kulkarni</t>
  </si>
  <si>
    <t>STU0911</t>
  </si>
  <si>
    <t>Suman Shah</t>
  </si>
  <si>
    <t>STU0912</t>
  </si>
  <si>
    <t>Abhishek Yadav</t>
  </si>
  <si>
    <t>STU0913</t>
  </si>
  <si>
    <t>STU0914</t>
  </si>
  <si>
    <t>STU0915</t>
  </si>
  <si>
    <t>STU0916</t>
  </si>
  <si>
    <t>STU0917</t>
  </si>
  <si>
    <t>Tarun Bose</t>
  </si>
  <si>
    <t>STU0918</t>
  </si>
  <si>
    <t>Pooja Bansal</t>
  </si>
  <si>
    <t>STU0919</t>
  </si>
  <si>
    <t>Manisha Kumar</t>
  </si>
  <si>
    <t>STU0920</t>
  </si>
  <si>
    <t>STU0921</t>
  </si>
  <si>
    <t>STU0922</t>
  </si>
  <si>
    <t>Komal Shah</t>
  </si>
  <si>
    <t>STU0923</t>
  </si>
  <si>
    <t>Kavya Desai</t>
  </si>
  <si>
    <t>STU0924</t>
  </si>
  <si>
    <t>Deepika Bansal</t>
  </si>
  <si>
    <t>STU0925</t>
  </si>
  <si>
    <t>Aditya Yadav</t>
  </si>
  <si>
    <t>STU0926</t>
  </si>
  <si>
    <t>Tarun Iyer</t>
  </si>
  <si>
    <t>STU0927</t>
  </si>
  <si>
    <t>STU0928</t>
  </si>
  <si>
    <t>Amit Reddy</t>
  </si>
  <si>
    <t>STU0929</t>
  </si>
  <si>
    <t>Ravi Verma</t>
  </si>
  <si>
    <t>STU0930</t>
  </si>
  <si>
    <t>Payal Kapoor</t>
  </si>
  <si>
    <t>STU0931</t>
  </si>
  <si>
    <t>Deepika Rao</t>
  </si>
  <si>
    <t>STU0932</t>
  </si>
  <si>
    <t>Tanvi Iyer</t>
  </si>
  <si>
    <t>STU0933</t>
  </si>
  <si>
    <t>Khushi Gupta</t>
  </si>
  <si>
    <t>STU0934</t>
  </si>
  <si>
    <t>STU0935</t>
  </si>
  <si>
    <t>STU0936</t>
  </si>
  <si>
    <t>STU0937</t>
  </si>
  <si>
    <t>STU0938</t>
  </si>
  <si>
    <t>STU0939</t>
  </si>
  <si>
    <t>STU0940</t>
  </si>
  <si>
    <t>Deepak Pandey</t>
  </si>
  <si>
    <t>STU0941</t>
  </si>
  <si>
    <t>Suresh Naidu</t>
  </si>
  <si>
    <t>STU0942</t>
  </si>
  <si>
    <t>STU0943</t>
  </si>
  <si>
    <t>STU0944</t>
  </si>
  <si>
    <t>STU0945</t>
  </si>
  <si>
    <t>Naveen Rao</t>
  </si>
  <si>
    <t>STU0946</t>
  </si>
  <si>
    <t>STU0947</t>
  </si>
  <si>
    <t>STU0948</t>
  </si>
  <si>
    <t>Ankit Yadav</t>
  </si>
  <si>
    <t>STU0949</t>
  </si>
  <si>
    <t>STU0950</t>
  </si>
  <si>
    <t>Sanjay Singh</t>
  </si>
  <si>
    <t>STU0951</t>
  </si>
  <si>
    <t>STU0952</t>
  </si>
  <si>
    <t>STU0953</t>
  </si>
  <si>
    <t>STU0954</t>
  </si>
  <si>
    <t>Nikhil Malhotra</t>
  </si>
  <si>
    <t>STU0955</t>
  </si>
  <si>
    <t>STU0956</t>
  </si>
  <si>
    <t>STU0957</t>
  </si>
  <si>
    <t>STU0958</t>
  </si>
  <si>
    <t>Nikhil Menon</t>
  </si>
  <si>
    <t>STU0959</t>
  </si>
  <si>
    <t>Swati Chandra</t>
  </si>
  <si>
    <t>STU0960</t>
  </si>
  <si>
    <t>STU0961</t>
  </si>
  <si>
    <t>Vikram Agarwal</t>
  </si>
  <si>
    <t>STU0962</t>
  </si>
  <si>
    <t>Khushi Joshi</t>
  </si>
  <si>
    <t>STU0963</t>
  </si>
  <si>
    <t>Divya Chauhan</t>
  </si>
  <si>
    <t>STU0964</t>
  </si>
  <si>
    <t>STU0965</t>
  </si>
  <si>
    <t>STU0966</t>
  </si>
  <si>
    <t>Suman Bose</t>
  </si>
  <si>
    <t>STU0967</t>
  </si>
  <si>
    <t>Swati Menon</t>
  </si>
  <si>
    <t>STU0968</t>
  </si>
  <si>
    <t>Aditya Gupta</t>
  </si>
  <si>
    <t>STU0969</t>
  </si>
  <si>
    <t>STU0970</t>
  </si>
  <si>
    <t>Vivek Patel</t>
  </si>
  <si>
    <t>STU0971</t>
  </si>
  <si>
    <t>Deepak Singh</t>
  </si>
  <si>
    <t>STU0972</t>
  </si>
  <si>
    <t>STU0973</t>
  </si>
  <si>
    <t>Harsh Pandey</t>
  </si>
  <si>
    <t>STU0974</t>
  </si>
  <si>
    <t>Mohit Bose</t>
  </si>
  <si>
    <t>STU0975</t>
  </si>
  <si>
    <t>STU0976</t>
  </si>
  <si>
    <t>STU0977</t>
  </si>
  <si>
    <t>STU0978</t>
  </si>
  <si>
    <t>STU0979</t>
  </si>
  <si>
    <t>Rachna Mehta</t>
  </si>
  <si>
    <t>STU0980</t>
  </si>
  <si>
    <t>Lakshmi Yadav</t>
  </si>
  <si>
    <t>STU0981</t>
  </si>
  <si>
    <t>Aarti Ghosh</t>
  </si>
  <si>
    <t>STU0982</t>
  </si>
  <si>
    <t>STU0983</t>
  </si>
  <si>
    <t>Deepika Desai</t>
  </si>
  <si>
    <t>STU0984</t>
  </si>
  <si>
    <t>Harsh Kumar</t>
  </si>
  <si>
    <t>STU0985</t>
  </si>
  <si>
    <t>STU0986</t>
  </si>
  <si>
    <t>Aarti Desai</t>
  </si>
  <si>
    <t>STU0987</t>
  </si>
  <si>
    <t>STU0988</t>
  </si>
  <si>
    <t>STU0989</t>
  </si>
  <si>
    <t>Preeti Kapoor</t>
  </si>
  <si>
    <t>STU0990</t>
  </si>
  <si>
    <t>Rahul Iyer</t>
  </si>
  <si>
    <t>STU0991</t>
  </si>
  <si>
    <t>STU0992</t>
  </si>
  <si>
    <t>Vikram Iyer</t>
  </si>
  <si>
    <t>STU0993</t>
  </si>
  <si>
    <t>STU0994</t>
  </si>
  <si>
    <t>Simran Kapoor</t>
  </si>
  <si>
    <t>STU0995</t>
  </si>
  <si>
    <t>STU0996</t>
  </si>
  <si>
    <t>Gaurav Chauhan</t>
  </si>
  <si>
    <t>STU0997</t>
  </si>
  <si>
    <t>Shreya Pandey</t>
  </si>
  <si>
    <t>STU0998</t>
  </si>
  <si>
    <t>STU0999</t>
  </si>
  <si>
    <t>Kavya Nair</t>
  </si>
  <si>
    <t>STU1000</t>
  </si>
  <si>
    <t>Pivot-Style Summary — 15 Tables</t>
  </si>
  <si>
    <t>Formula-driven breakdowns that update automatically when Student Data changes. To build a live drag-and-drop native PivotTable instead: click any cell in the StudentDataTable on 'Student Data' -&gt; Insert tab -&gt; PivotTable.</t>
  </si>
  <si>
    <t>1. By Risk Level</t>
  </si>
  <si>
    <t>Students</t>
  </si>
  <si>
    <t>Avg Score</t>
  </si>
  <si>
    <t>Avg Attendance</t>
  </si>
  <si>
    <t>Avg Study Hrs</t>
  </si>
  <si>
    <t>Avg Prev Marks</t>
  </si>
  <si>
    <t>High Risk</t>
  </si>
  <si>
    <t>Medium Risk</t>
  </si>
  <si>
    <t>Low Risk</t>
  </si>
  <si>
    <t>2. By Predicted Result</t>
  </si>
  <si>
    <t>Result</t>
  </si>
  <si>
    <t>PASS</t>
  </si>
  <si>
    <t>FAIL</t>
  </si>
  <si>
    <t>3. By Performance Score Band</t>
  </si>
  <si>
    <t>Score Band</t>
  </si>
  <si>
    <t>% of Class</t>
  </si>
  <si>
    <t>0-49 (Fail)</t>
  </si>
  <si>
    <t>50-64 (Borderline)</t>
  </si>
  <si>
    <t>65-79 (Good)</t>
  </si>
  <si>
    <t>80-100 (Excellent)</t>
  </si>
  <si>
    <t>4. By Attendance Band</t>
  </si>
  <si>
    <t>Attendance Band</t>
  </si>
  <si>
    <t>Pass Rate</t>
  </si>
  <si>
    <t>&lt;60% (Low)</t>
  </si>
  <si>
    <t>60-75% (Medium)</t>
  </si>
  <si>
    <t>75-90% (Good)</t>
  </si>
  <si>
    <t>90-100% (Excellent)</t>
  </si>
  <si>
    <t>5. By Study Hours/Week Band</t>
  </si>
  <si>
    <t>Study Hours Band</t>
  </si>
  <si>
    <t>&lt;3 hrs (Low)</t>
  </si>
  <si>
    <t>3-6 hrs (Moderate)</t>
  </si>
  <si>
    <t>6-9 hrs (Good)</t>
  </si>
  <si>
    <t>9+ hrs (High)</t>
  </si>
  <si>
    <t>6. By Previous Marks Band</t>
  </si>
  <si>
    <t>Previous Marks Band</t>
  </si>
  <si>
    <t>7. By Gender</t>
  </si>
  <si>
    <t>High Risk Count</t>
  </si>
  <si>
    <t>8. By Section</t>
  </si>
  <si>
    <t>9. Cross-Tab: Gender x Predicted Result</t>
  </si>
  <si>
    <t>10. Cross-Tab: Section x Risk Level</t>
  </si>
  <si>
    <t>11. Cross-Tab: Gender x Section</t>
  </si>
  <si>
    <t>Section A</t>
  </si>
  <si>
    <t>Section B</t>
  </si>
  <si>
    <t>Section C</t>
  </si>
  <si>
    <t>Section D</t>
  </si>
  <si>
    <t>12. Cross-Tab: Study Hours Band x Predicted Result</t>
  </si>
  <si>
    <t>13. Cross-Tab: Attendance Band x Risk Level</t>
  </si>
  <si>
    <t>14. Top 10 Performers (by Performance Score)</t>
  </si>
  <si>
    <t>15. Bottom 10 Performers (by Performance Score)</t>
  </si>
  <si>
    <t>Class Performance Dashboard</t>
  </si>
  <si>
    <t>All views in one sheet. Auto-updates from Student Data — 1,000 students.</t>
  </si>
  <si>
    <t>Total Students</t>
  </si>
  <si>
    <t>Predicted Pass</t>
  </si>
  <si>
    <t>Predicted Fail</t>
  </si>
  <si>
    <t>Class Avg Score</t>
  </si>
  <si>
    <t>Overall Pass Rate</t>
  </si>
  <si>
    <t>Attendance Correlation</t>
  </si>
  <si>
    <t>Study Hrs Correlation</t>
  </si>
  <si>
    <t>1. Risk &amp; Result Overview</t>
  </si>
  <si>
    <t>2. Risk Analysis — Avg Score by Risk Level</t>
  </si>
  <si>
    <t>3. Attendance Analysis</t>
  </si>
  <si>
    <t>4. Study Hours Analysis</t>
  </si>
  <si>
    <t>5. Previous Marks Analysis</t>
  </si>
  <si>
    <t>6. Performance Score Distribution</t>
  </si>
  <si>
    <t>7. Gender-Wise Performance</t>
  </si>
  <si>
    <t>8. Section-Wise Performance</t>
  </si>
  <si>
    <t>9. Students Needing Immediate Support (High Risk, top 30 by row order)</t>
  </si>
  <si>
    <t>Note: list shows up to 30 High Risk students. With 1,000 students, filter or sort the full Student Data table (or use a native PivotTable) to see every at-risk case.</t>
  </si>
  <si>
    <t>10. Top 10 &amp; Bottom 10 Performers</t>
  </si>
  <si>
    <t>Top 10: Student ID</t>
  </si>
  <si>
    <t>Score</t>
  </si>
  <si>
    <t>Bottom 10: Student ID</t>
  </si>
  <si>
    <t>11. Correlation &amp; How To Use This For Prediction</t>
  </si>
  <si>
    <t>Study Hours Correlation</t>
  </si>
  <si>
    <t>Prev Marks Correlation</t>
  </si>
  <si>
    <t>Performance Score = 40% Previous Marks + 30% Attendance + 30% Study Hours (capped at 10 hrs/week). PASS/FAIL and Risk Level are both derived from that score — a transparent, explainable formula rather than a black-box model.</t>
  </si>
  <si>
    <t>To predict a NEW student: add their details as a new row in 'Student Data' — Score, Result, Risk Level and every chart/pivot on this dashboard updates automatically.</t>
  </si>
  <si>
    <t>To run a 'what-if': change a student's Attendance or Study Hours in 'Student Data' and watch their Predicted Result and Risk Level change live — useful for showing what improvement moves FAIL to PASS.</t>
  </si>
  <si>
    <t>The correlation KPIs above show which factor matters most for this class — the one closest to +1 is the strongest lever for intervention.</t>
  </si>
  <si>
    <t>Key Insights &amp; Correlations</t>
  </si>
  <si>
    <t>Auto-calculated from Student Data. Correlation ranges from -1 to +1: closer to +1 means the factor rises together with the performance score.</t>
  </si>
  <si>
    <t>Correlation with Performance Score</t>
  </si>
  <si>
    <t>Factor</t>
  </si>
  <si>
    <t>Correlation</t>
  </si>
  <si>
    <t>What it means</t>
  </si>
  <si>
    <t>How strongly attendance tracks with the predicted performance score.</t>
  </si>
  <si>
    <t>How strongly weekly study time tracks with the predicted score.</t>
  </si>
  <si>
    <t>How strongly past academic marks track with the predicted score.</t>
  </si>
  <si>
    <t>Class-Wide KPIs</t>
  </si>
  <si>
    <t>Metric</t>
  </si>
  <si>
    <t>Value</t>
  </si>
  <si>
    <t>Share of the 1,000 students predicted to pass under the current scoring model.</t>
  </si>
  <si>
    <t>High Risk Share</t>
  </si>
  <si>
    <t>Share of students flagged High Risk (score below 50) — the group needing immediate support.</t>
  </si>
  <si>
    <t>Avg Attendance (Fail group)</t>
  </si>
  <si>
    <t>Average attendance among students predicted to fail — compare to the pass group below.</t>
  </si>
  <si>
    <t>Avg Attendance (Pass group)</t>
  </si>
  <si>
    <t>Average attendance among students predicted to pass.</t>
  </si>
  <si>
    <t>Top Section by Avg Score</t>
  </si>
  <si>
    <t>The class section with the highest average performance score.</t>
  </si>
  <si>
    <t>How To Read &amp; Act On These Insights</t>
  </si>
  <si>
    <t>1. Start with the correlation table above — whichever factor has the highest correlation with Performance Score is the biggest lever for improving outcomes class-wide.</t>
  </si>
  <si>
    <t>2. Use the 'By Risk Level' pivot table (Pivot Summary sheet) to see how many students are High/Medium/Low Risk, and the averages that define each group.</t>
  </si>
  <si>
    <t>3. Open Dashboard 2 (Risk Analysis) and Dashboard 9 (Top &amp; Bottom Performers) to get a short list of names to act on this week — the High Risk list and the Bottom 10 table.</t>
  </si>
  <si>
    <t>4. Cross-check Dashboards 3-6 (Attendance, Study Hours, Previous Marks, Score Bands) to decide whether an intervention should focus on attendance drives, study-skills coaching, or catch-up classes for weak prior performance.</t>
  </si>
  <si>
    <t>5. Re-run this analysis every few weeks: paste new Attendance / Study Hours / Previous Marks into 'Student Data' and every formula, pivot table, and dashboard recalculates automatically.</t>
  </si>
  <si>
    <t>With 1,000 students across 4 sections, no teacher can eyeball every record — this workbook turns raw rows into a ranked risk list, 15 pivot summaries, and  dashboards so the people who most need help are surfaced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</si>
</sst>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F4E78"/>
      <name val="Arial"/>
      <charset val="1"/>
    </font>
    <font>
      <i/>
      <sz val="10"/>
      <color rgb="FF595959"/>
      <name val="Arial"/>
      <charset val="1"/>
    </font>
    <font>
      <b/>
      <sz val="12"/>
      <color rgb="FFFFFFFF"/>
      <name val="Arial"/>
      <charset val="1"/>
    </font>
    <font>
      <sz val="10"/>
      <name val="Arial"/>
      <charset val="1"/>
    </font>
    <font>
      <b/>
      <sz val="11"/>
      <name val="Arial"/>
      <charset val="1"/>
    </font>
    <font>
      <b/>
      <sz val="10"/>
      <color rgb="FFFFFFFF"/>
      <name val="Arial"/>
      <charset val="1"/>
    </font>
    <font>
      <sz val="10"/>
      <color rgb="FF0000FF"/>
      <name val="Arial"/>
      <charset val="1"/>
    </font>
    <font>
      <b/>
      <sz val="9"/>
      <color rgb="FF595959"/>
      <name val="Arial"/>
      <charset val="1"/>
    </font>
    <font>
      <b/>
      <sz val="18"/>
      <color rgb="FF1F4E78"/>
      <name val="Arial"/>
      <charset val="1"/>
    </font>
    <font>
      <i/>
      <sz val="9"/>
      <color rgb="FF808080"/>
      <name val="Arial"/>
      <charset val="1"/>
    </font>
  </fonts>
  <fills count="5">
    <fill>
      <patternFill patternType="none"/>
    </fill>
    <fill>
      <patternFill patternType="gray125"/>
    </fill>
    <fill>
      <patternFill patternType="solid">
        <fgColor rgb="FF1F4E78"/>
        <bgColor rgb="FF003366"/>
      </patternFill>
    </fill>
    <fill>
      <patternFill patternType="solid">
        <fgColor rgb="FF2E75B6"/>
        <bgColor rgb="FF4F81BD"/>
      </patternFill>
    </fill>
    <fill>
      <patternFill patternType="solid">
        <fgColor rgb="FFEAF1F8"/>
        <bgColor rgb="FFE2F0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5">
    <xf numFmtId="0" fontId="0" fillId="0" borderId="0" xfId="0"/>
    <xf numFmtId="0" fontId="4" fillId="0" borderId="0" xfId="0" applyFont="1" applyAlignment="1">
      <alignment wrapText="1"/>
    </xf>
    <xf numFmtId="0" fontId="3" fillId="2" borderId="0" xfId="0" applyFont="1" applyFill="1"/>
    <xf numFmtId="0" fontId="1" fillId="0" borderId="0" xfId="0" applyFont="1"/>
    <xf numFmtId="0" fontId="2" fillId="0" borderId="0" xfId="0" applyFont="1"/>
    <xf numFmtId="0" fontId="4" fillId="0" borderId="0" xfId="0" applyFont="1" applyAlignment="1">
      <alignment vertical="top" wrapText="1"/>
    </xf>
    <xf numFmtId="0" fontId="6" fillId="3" borderId="1" xfId="0" applyFont="1" applyFill="1" applyBorder="1" applyAlignment="1">
      <alignment horizontal="center"/>
    </xf>
    <xf numFmtId="0" fontId="4" fillId="0" borderId="0" xfId="0" applyFont="1"/>
    <xf numFmtId="0" fontId="7" fillId="0" borderId="0" xfId="0" applyFont="1"/>
    <xf numFmtId="0" fontId="8" fillId="4" borderId="0" xfId="0" applyFont="1" applyFill="1"/>
    <xf numFmtId="0" fontId="9" fillId="4" borderId="0" xfId="0" applyFont="1" applyFill="1"/>
    <xf numFmtId="0" fontId="3" fillId="2" borderId="0" xfId="0" applyFont="1" applyFill="1"/>
    <xf numFmtId="0" fontId="10" fillId="0" borderId="0" xfId="0" applyFont="1"/>
    <xf numFmtId="0" fontId="4" fillId="0" borderId="0" xfId="0" applyFont="1" applyAlignment="1">
      <alignment wrapText="1"/>
    </xf>
    <xf numFmtId="0" fontId="5" fillId="0" borderId="0" xfId="0" applyFont="1"/>
  </cellXfs>
  <cellStyles count="1">
    <cellStyle name="Normal" xfId="0" builtinId="0"/>
  </cellStyles>
  <dxfs count="5">
    <dxf>
      <fill>
        <patternFill>
          <bgColor rgb="FFE2F0D9"/>
        </patternFill>
      </fill>
    </dxf>
    <dxf>
      <fill>
        <patternFill>
          <bgColor rgb="FFFFF4CE"/>
        </patternFill>
      </fill>
    </dxf>
    <dxf>
      <fill>
        <patternFill>
          <bgColor rgb="FFFCE4E4"/>
        </patternFill>
      </fill>
    </dxf>
    <dxf>
      <fill>
        <patternFill>
          <bgColor rgb="FFE2F0D9"/>
        </patternFill>
      </fill>
    </dxf>
    <dxf>
      <fill>
        <patternFill>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C0504D"/>
      <rgbColor rgb="FFFFF4CE"/>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E4"/>
      <rgbColor rgb="FF2E75B6"/>
      <rgbColor rgb="FF33CCCC"/>
      <rgbColor rgb="FF9BBB59"/>
      <rgbColor rgb="FFFFCC00"/>
      <rgbColor rgb="FFBF8F00"/>
      <rgbColor rgb="FFFF6600"/>
      <rgbColor rgb="FF8064A2"/>
      <rgbColor rgb="FF878787"/>
      <rgbColor rgb="FF003366"/>
      <rgbColor rgb="FF4F81BD"/>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Risk Distribution</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0D2A-4C1A-9EA2-62AD72FC5E15}"/>
              </c:ext>
            </c:extLst>
          </c:dPt>
          <c:dPt>
            <c:idx val="1"/>
            <c:bubble3D val="0"/>
            <c:spPr>
              <a:solidFill>
                <a:srgbClr val="C0504D"/>
              </a:solidFill>
              <a:ln w="0">
                <a:noFill/>
              </a:ln>
            </c:spPr>
            <c:extLst>
              <c:ext xmlns:c16="http://schemas.microsoft.com/office/drawing/2014/chart" uri="{C3380CC4-5D6E-409C-BE32-E72D297353CC}">
                <c16:uniqueId val="{00000003-0D2A-4C1A-9EA2-62AD72FC5E15}"/>
              </c:ext>
            </c:extLst>
          </c:dPt>
          <c:dPt>
            <c:idx val="2"/>
            <c:bubble3D val="0"/>
            <c:spPr>
              <a:solidFill>
                <a:srgbClr val="9BBB59"/>
              </a:solidFill>
              <a:ln w="0">
                <a:noFill/>
              </a:ln>
            </c:spPr>
            <c:extLst>
              <c:ext xmlns:c16="http://schemas.microsoft.com/office/drawing/2014/chart" uri="{C3380CC4-5D6E-409C-BE32-E72D297353CC}">
                <c16:uniqueId val="{00000005-0D2A-4C1A-9EA2-62AD72FC5E15}"/>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D2A-4C1A-9EA2-62AD72FC5E15}"/>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0D2A-4C1A-9EA2-62AD72FC5E15}"/>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0D2A-4C1A-9EA2-62AD72FC5E15}"/>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Summary'!$B$7:$B$9</c:f>
              <c:strCache>
                <c:ptCount val="3"/>
                <c:pt idx="0">
                  <c:v>High Risk</c:v>
                </c:pt>
                <c:pt idx="1">
                  <c:v>Medium Risk</c:v>
                </c:pt>
                <c:pt idx="2">
                  <c:v>Low Risk</c:v>
                </c:pt>
              </c:strCache>
            </c:strRef>
          </c:cat>
          <c:val>
            <c:numRef>
              <c:f>'Pivot Summary'!$C$7:$C$9</c:f>
              <c:numCache>
                <c:formatCode>General</c:formatCode>
                <c:ptCount val="3"/>
                <c:pt idx="0">
                  <c:v>197</c:v>
                </c:pt>
                <c:pt idx="1">
                  <c:v>272</c:v>
                </c:pt>
                <c:pt idx="2">
                  <c:v>531</c:v>
                </c:pt>
              </c:numCache>
            </c:numRef>
          </c:val>
          <c:extLst>
            <c:ext xmlns:c16="http://schemas.microsoft.com/office/drawing/2014/chart" uri="{C3380CC4-5D6E-409C-BE32-E72D297353CC}">
              <c16:uniqueId val="{00000006-0D2A-4C1A-9EA2-62AD72FC5E15}"/>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Predicted Pass vs Fail</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Summary'!$B$13:$B$14</c:f>
              <c:strCache>
                <c:ptCount val="2"/>
                <c:pt idx="0">
                  <c:v>PASS</c:v>
                </c:pt>
                <c:pt idx="1">
                  <c:v>FAIL</c:v>
                </c:pt>
              </c:strCache>
            </c:strRef>
          </c:cat>
          <c:val>
            <c:numRef>
              <c:f>'Pivot Summary'!$C$13:$C$14</c:f>
              <c:numCache>
                <c:formatCode>General</c:formatCode>
                <c:ptCount val="2"/>
                <c:pt idx="0">
                  <c:v>803</c:v>
                </c:pt>
                <c:pt idx="1">
                  <c:v>197</c:v>
                </c:pt>
              </c:numCache>
            </c:numRef>
          </c:val>
          <c:extLst>
            <c:ext xmlns:c16="http://schemas.microsoft.com/office/drawing/2014/chart" uri="{C3380CC4-5D6E-409C-BE32-E72D297353CC}">
              <c16:uniqueId val="{00000000-4F76-464D-9ADF-9701294A4EE5}"/>
            </c:ext>
          </c:extLst>
        </c:ser>
        <c:dLbls>
          <c:showLegendKey val="0"/>
          <c:showVal val="0"/>
          <c:showCatName val="0"/>
          <c:showSerName val="0"/>
          <c:showPercent val="0"/>
          <c:showBubbleSize val="0"/>
        </c:dLbls>
        <c:gapWidth val="150"/>
        <c:axId val="76665655"/>
        <c:axId val="46016921"/>
      </c:barChart>
      <c:catAx>
        <c:axId val="766656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016921"/>
        <c:crosses val="autoZero"/>
        <c:auto val="1"/>
        <c:lblAlgn val="ctr"/>
        <c:lblOffset val="100"/>
        <c:noMultiLvlLbl val="0"/>
      </c:catAx>
      <c:valAx>
        <c:axId val="460169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66565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Performance Score by Risk Level</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Summary'!$B$7:$B$9</c:f>
              <c:strCache>
                <c:ptCount val="3"/>
                <c:pt idx="0">
                  <c:v>High Risk</c:v>
                </c:pt>
                <c:pt idx="1">
                  <c:v>Medium Risk</c:v>
                </c:pt>
                <c:pt idx="2">
                  <c:v>Low Risk</c:v>
                </c:pt>
              </c:strCache>
            </c:strRef>
          </c:cat>
          <c:val>
            <c:numRef>
              <c:f>'Pivot Summary'!$D$7:$D$9</c:f>
              <c:numCache>
                <c:formatCode>General</c:formatCode>
                <c:ptCount val="3"/>
                <c:pt idx="0">
                  <c:v>38.5</c:v>
                </c:pt>
                <c:pt idx="1">
                  <c:v>57.5</c:v>
                </c:pt>
                <c:pt idx="2">
                  <c:v>80</c:v>
                </c:pt>
              </c:numCache>
            </c:numRef>
          </c:val>
          <c:extLst>
            <c:ext xmlns:c16="http://schemas.microsoft.com/office/drawing/2014/chart" uri="{C3380CC4-5D6E-409C-BE32-E72D297353CC}">
              <c16:uniqueId val="{00000000-62F8-46B2-8A3B-A911A4A98E6B}"/>
            </c:ext>
          </c:extLst>
        </c:ser>
        <c:dLbls>
          <c:showLegendKey val="0"/>
          <c:showVal val="0"/>
          <c:showCatName val="0"/>
          <c:showSerName val="0"/>
          <c:showPercent val="0"/>
          <c:showBubbleSize val="0"/>
        </c:dLbls>
        <c:gapWidth val="150"/>
        <c:axId val="77716128"/>
        <c:axId val="91820548"/>
      </c:barChart>
      <c:catAx>
        <c:axId val="777161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20548"/>
        <c:crosses val="autoZero"/>
        <c:auto val="1"/>
        <c:lblAlgn val="ctr"/>
        <c:lblOffset val="100"/>
        <c:noMultiLvlLbl val="0"/>
      </c:catAx>
      <c:valAx>
        <c:axId val="9182054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7161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Score by Attendance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Summary'!$B$25:$B$28</c:f>
              <c:strCache>
                <c:ptCount val="4"/>
                <c:pt idx="0">
                  <c:v>&lt;60% (Low)</c:v>
                </c:pt>
                <c:pt idx="1">
                  <c:v>60-75% (Medium)</c:v>
                </c:pt>
                <c:pt idx="2">
                  <c:v>75-90% (Good)</c:v>
                </c:pt>
                <c:pt idx="3">
                  <c:v>90-100% (Excellent)</c:v>
                </c:pt>
              </c:strCache>
            </c:strRef>
          </c:cat>
          <c:val>
            <c:numRef>
              <c:f>'Pivot Summary'!$D$25:$D$28</c:f>
              <c:numCache>
                <c:formatCode>General</c:formatCode>
                <c:ptCount val="4"/>
                <c:pt idx="0">
                  <c:v>41</c:v>
                </c:pt>
                <c:pt idx="1">
                  <c:v>59.4</c:v>
                </c:pt>
                <c:pt idx="2">
                  <c:v>73.2</c:v>
                </c:pt>
                <c:pt idx="3">
                  <c:v>88.3</c:v>
                </c:pt>
              </c:numCache>
            </c:numRef>
          </c:val>
          <c:extLst>
            <c:ext xmlns:c16="http://schemas.microsoft.com/office/drawing/2014/chart" uri="{C3380CC4-5D6E-409C-BE32-E72D297353CC}">
              <c16:uniqueId val="{00000000-CCB9-4CC7-93FB-A856E41F616E}"/>
            </c:ext>
          </c:extLst>
        </c:ser>
        <c:dLbls>
          <c:showLegendKey val="0"/>
          <c:showVal val="0"/>
          <c:showCatName val="0"/>
          <c:showSerName val="0"/>
          <c:showPercent val="0"/>
          <c:showBubbleSize val="0"/>
        </c:dLbls>
        <c:gapWidth val="150"/>
        <c:axId val="8265091"/>
        <c:axId val="54701953"/>
      </c:barChart>
      <c:catAx>
        <c:axId val="826509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701953"/>
        <c:crosses val="autoZero"/>
        <c:auto val="1"/>
        <c:lblAlgn val="ctr"/>
        <c:lblOffset val="100"/>
        <c:noMultiLvlLbl val="0"/>
      </c:catAx>
      <c:valAx>
        <c:axId val="547019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6509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Students by Attendance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Summary'!$B$25:$B$28</c:f>
              <c:strCache>
                <c:ptCount val="4"/>
                <c:pt idx="0">
                  <c:v>&lt;60% (Low)</c:v>
                </c:pt>
                <c:pt idx="1">
                  <c:v>60-75% (Medium)</c:v>
                </c:pt>
                <c:pt idx="2">
                  <c:v>75-90% (Good)</c:v>
                </c:pt>
                <c:pt idx="3">
                  <c:v>90-100% (Excellent)</c:v>
                </c:pt>
              </c:strCache>
            </c:strRef>
          </c:cat>
          <c:val>
            <c:numRef>
              <c:f>'Pivot Summary'!$C$25:$C$28</c:f>
              <c:numCache>
                <c:formatCode>General</c:formatCode>
                <c:ptCount val="4"/>
                <c:pt idx="0">
                  <c:v>188</c:v>
                </c:pt>
                <c:pt idx="1">
                  <c:v>314</c:v>
                </c:pt>
                <c:pt idx="2">
                  <c:v>305</c:v>
                </c:pt>
                <c:pt idx="3">
                  <c:v>193</c:v>
                </c:pt>
              </c:numCache>
            </c:numRef>
          </c:val>
          <c:extLst>
            <c:ext xmlns:c16="http://schemas.microsoft.com/office/drawing/2014/chart" uri="{C3380CC4-5D6E-409C-BE32-E72D297353CC}">
              <c16:uniqueId val="{00000000-4F27-4797-9D35-35997091CEEA}"/>
            </c:ext>
          </c:extLst>
        </c:ser>
        <c:dLbls>
          <c:showLegendKey val="0"/>
          <c:showVal val="0"/>
          <c:showCatName val="0"/>
          <c:showSerName val="0"/>
          <c:showPercent val="0"/>
          <c:showBubbleSize val="0"/>
        </c:dLbls>
        <c:gapWidth val="150"/>
        <c:axId val="28074132"/>
        <c:axId val="72644600"/>
      </c:barChart>
      <c:catAx>
        <c:axId val="280741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644600"/>
        <c:crosses val="autoZero"/>
        <c:auto val="1"/>
        <c:lblAlgn val="ctr"/>
        <c:lblOffset val="100"/>
        <c:noMultiLvlLbl val="0"/>
      </c:catAx>
      <c:valAx>
        <c:axId val="726446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07413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Score by Study Hours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Summary'!$B$32:$B$35</c:f>
              <c:strCache>
                <c:ptCount val="4"/>
                <c:pt idx="0">
                  <c:v>&lt;3 hrs (Low)</c:v>
                </c:pt>
                <c:pt idx="1">
                  <c:v>3-6 hrs (Moderate)</c:v>
                </c:pt>
                <c:pt idx="2">
                  <c:v>6-9 hrs (Good)</c:v>
                </c:pt>
                <c:pt idx="3">
                  <c:v>9+ hrs (High)</c:v>
                </c:pt>
              </c:strCache>
            </c:strRef>
          </c:cat>
          <c:val>
            <c:numRef>
              <c:f>'Pivot Summary'!$D$32:$D$35</c:f>
              <c:numCache>
                <c:formatCode>General</c:formatCode>
                <c:ptCount val="4"/>
                <c:pt idx="0">
                  <c:v>40.1</c:v>
                </c:pt>
                <c:pt idx="1">
                  <c:v>58.8</c:v>
                </c:pt>
                <c:pt idx="2">
                  <c:v>74.3</c:v>
                </c:pt>
                <c:pt idx="3">
                  <c:v>90.5</c:v>
                </c:pt>
              </c:numCache>
            </c:numRef>
          </c:val>
          <c:extLst>
            <c:ext xmlns:c16="http://schemas.microsoft.com/office/drawing/2014/chart" uri="{C3380CC4-5D6E-409C-BE32-E72D297353CC}">
              <c16:uniqueId val="{00000000-4F6D-482A-B35A-9820E204F2EF}"/>
            </c:ext>
          </c:extLst>
        </c:ser>
        <c:dLbls>
          <c:showLegendKey val="0"/>
          <c:showVal val="0"/>
          <c:showCatName val="0"/>
          <c:showSerName val="0"/>
          <c:showPercent val="0"/>
          <c:showBubbleSize val="0"/>
        </c:dLbls>
        <c:gapWidth val="150"/>
        <c:axId val="34083151"/>
        <c:axId val="28425302"/>
      </c:barChart>
      <c:catAx>
        <c:axId val="340831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425302"/>
        <c:crosses val="autoZero"/>
        <c:auto val="1"/>
        <c:lblAlgn val="ctr"/>
        <c:lblOffset val="100"/>
        <c:noMultiLvlLbl val="0"/>
      </c:catAx>
      <c:valAx>
        <c:axId val="284253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08315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Students by Study Hours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Summary'!$B$32:$B$35</c:f>
              <c:strCache>
                <c:ptCount val="4"/>
                <c:pt idx="0">
                  <c:v>&lt;3 hrs (Low)</c:v>
                </c:pt>
                <c:pt idx="1">
                  <c:v>3-6 hrs (Moderate)</c:v>
                </c:pt>
                <c:pt idx="2">
                  <c:v>6-9 hrs (Good)</c:v>
                </c:pt>
                <c:pt idx="3">
                  <c:v>9+ hrs (High)</c:v>
                </c:pt>
              </c:strCache>
            </c:strRef>
          </c:cat>
          <c:val>
            <c:numRef>
              <c:f>'Pivot Summary'!$C$32:$C$35</c:f>
              <c:numCache>
                <c:formatCode>General</c:formatCode>
                <c:ptCount val="4"/>
                <c:pt idx="0">
                  <c:v>188</c:v>
                </c:pt>
                <c:pt idx="1">
                  <c:v>312</c:v>
                </c:pt>
                <c:pt idx="2">
                  <c:v>335</c:v>
                </c:pt>
                <c:pt idx="3">
                  <c:v>165</c:v>
                </c:pt>
              </c:numCache>
            </c:numRef>
          </c:val>
          <c:extLst>
            <c:ext xmlns:c16="http://schemas.microsoft.com/office/drawing/2014/chart" uri="{C3380CC4-5D6E-409C-BE32-E72D297353CC}">
              <c16:uniqueId val="{00000000-B571-479E-9209-275942C8CAAE}"/>
            </c:ext>
          </c:extLst>
        </c:ser>
        <c:dLbls>
          <c:showLegendKey val="0"/>
          <c:showVal val="0"/>
          <c:showCatName val="0"/>
          <c:showSerName val="0"/>
          <c:showPercent val="0"/>
          <c:showBubbleSize val="0"/>
        </c:dLbls>
        <c:gapWidth val="150"/>
        <c:axId val="98550433"/>
        <c:axId val="95684783"/>
      </c:barChart>
      <c:catAx>
        <c:axId val="985504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684783"/>
        <c:crosses val="autoZero"/>
        <c:auto val="1"/>
        <c:lblAlgn val="ctr"/>
        <c:lblOffset val="100"/>
        <c:noMultiLvlLbl val="0"/>
      </c:catAx>
      <c:valAx>
        <c:axId val="9568478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5504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Score by Previous Marks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Summary'!$B$39:$B$42</c:f>
              <c:strCache>
                <c:ptCount val="4"/>
                <c:pt idx="0">
                  <c:v>0-49 (Fail)</c:v>
                </c:pt>
                <c:pt idx="1">
                  <c:v>50-64 (Borderline)</c:v>
                </c:pt>
                <c:pt idx="2">
                  <c:v>65-79 (Good)</c:v>
                </c:pt>
                <c:pt idx="3">
                  <c:v>80-100 (Excellent)</c:v>
                </c:pt>
              </c:strCache>
            </c:strRef>
          </c:cat>
          <c:val>
            <c:numRef>
              <c:f>'Pivot Summary'!$D$39:$D$42</c:f>
              <c:numCache>
                <c:formatCode>General</c:formatCode>
                <c:ptCount val="4"/>
                <c:pt idx="0">
                  <c:v>39.700000000000003</c:v>
                </c:pt>
                <c:pt idx="1">
                  <c:v>58.3</c:v>
                </c:pt>
                <c:pt idx="2">
                  <c:v>72.7</c:v>
                </c:pt>
                <c:pt idx="3">
                  <c:v>88.8</c:v>
                </c:pt>
              </c:numCache>
            </c:numRef>
          </c:val>
          <c:extLst>
            <c:ext xmlns:c16="http://schemas.microsoft.com/office/drawing/2014/chart" uri="{C3380CC4-5D6E-409C-BE32-E72D297353CC}">
              <c16:uniqueId val="{00000000-C561-4436-A79A-C32B3BD34187}"/>
            </c:ext>
          </c:extLst>
        </c:ser>
        <c:dLbls>
          <c:showLegendKey val="0"/>
          <c:showVal val="0"/>
          <c:showCatName val="0"/>
          <c:showSerName val="0"/>
          <c:showPercent val="0"/>
          <c:showBubbleSize val="0"/>
        </c:dLbls>
        <c:gapWidth val="150"/>
        <c:axId val="46265177"/>
        <c:axId val="24629747"/>
      </c:barChart>
      <c:catAx>
        <c:axId val="462651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629747"/>
        <c:crosses val="autoZero"/>
        <c:auto val="1"/>
        <c:lblAlgn val="ctr"/>
        <c:lblOffset val="100"/>
        <c:noMultiLvlLbl val="0"/>
      </c:catAx>
      <c:valAx>
        <c:axId val="2462974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26517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Students by Previous Marks Band</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Summary'!$B$39:$B$42</c:f>
              <c:strCache>
                <c:ptCount val="4"/>
                <c:pt idx="0">
                  <c:v>0-49 (Fail)</c:v>
                </c:pt>
                <c:pt idx="1">
                  <c:v>50-64 (Borderline)</c:v>
                </c:pt>
                <c:pt idx="2">
                  <c:v>65-79 (Good)</c:v>
                </c:pt>
                <c:pt idx="3">
                  <c:v>80-100 (Excellent)</c:v>
                </c:pt>
              </c:strCache>
            </c:strRef>
          </c:cat>
          <c:val>
            <c:numRef>
              <c:f>'Pivot Summary'!$C$39:$C$42</c:f>
              <c:numCache>
                <c:formatCode>General</c:formatCode>
                <c:ptCount val="4"/>
                <c:pt idx="0">
                  <c:v>177</c:v>
                </c:pt>
                <c:pt idx="1">
                  <c:v>316</c:v>
                </c:pt>
                <c:pt idx="2">
                  <c:v>295</c:v>
                </c:pt>
                <c:pt idx="3">
                  <c:v>212</c:v>
                </c:pt>
              </c:numCache>
            </c:numRef>
          </c:val>
          <c:extLst>
            <c:ext xmlns:c16="http://schemas.microsoft.com/office/drawing/2014/chart" uri="{C3380CC4-5D6E-409C-BE32-E72D297353CC}">
              <c16:uniqueId val="{00000000-3001-4FBA-8A74-49716868F249}"/>
            </c:ext>
          </c:extLst>
        </c:ser>
        <c:dLbls>
          <c:showLegendKey val="0"/>
          <c:showVal val="0"/>
          <c:showCatName val="0"/>
          <c:showSerName val="0"/>
          <c:showPercent val="0"/>
          <c:showBubbleSize val="0"/>
        </c:dLbls>
        <c:gapWidth val="150"/>
        <c:axId val="98244457"/>
        <c:axId val="22134697"/>
      </c:barChart>
      <c:catAx>
        <c:axId val="982444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134697"/>
        <c:crosses val="autoZero"/>
        <c:auto val="1"/>
        <c:lblAlgn val="ctr"/>
        <c:lblOffset val="100"/>
        <c:noMultiLvlLbl val="0"/>
      </c:catAx>
      <c:valAx>
        <c:axId val="221346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24445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Class Distribution by Score Band</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86B7-4B53-A028-B9C2CEA89BD9}"/>
              </c:ext>
            </c:extLst>
          </c:dPt>
          <c:dPt>
            <c:idx val="1"/>
            <c:bubble3D val="0"/>
            <c:spPr>
              <a:solidFill>
                <a:srgbClr val="C0504D"/>
              </a:solidFill>
              <a:ln w="0">
                <a:noFill/>
              </a:ln>
            </c:spPr>
            <c:extLst>
              <c:ext xmlns:c16="http://schemas.microsoft.com/office/drawing/2014/chart" uri="{C3380CC4-5D6E-409C-BE32-E72D297353CC}">
                <c16:uniqueId val="{00000003-86B7-4B53-A028-B9C2CEA89BD9}"/>
              </c:ext>
            </c:extLst>
          </c:dPt>
          <c:dPt>
            <c:idx val="2"/>
            <c:bubble3D val="0"/>
            <c:spPr>
              <a:solidFill>
                <a:srgbClr val="9BBB59"/>
              </a:solidFill>
              <a:ln w="0">
                <a:noFill/>
              </a:ln>
            </c:spPr>
            <c:extLst>
              <c:ext xmlns:c16="http://schemas.microsoft.com/office/drawing/2014/chart" uri="{C3380CC4-5D6E-409C-BE32-E72D297353CC}">
                <c16:uniqueId val="{00000005-86B7-4B53-A028-B9C2CEA89BD9}"/>
              </c:ext>
            </c:extLst>
          </c:dPt>
          <c:dPt>
            <c:idx val="3"/>
            <c:bubble3D val="0"/>
            <c:spPr>
              <a:solidFill>
                <a:srgbClr val="8064A2"/>
              </a:solidFill>
              <a:ln w="0">
                <a:noFill/>
              </a:ln>
            </c:spPr>
            <c:extLst>
              <c:ext xmlns:c16="http://schemas.microsoft.com/office/drawing/2014/chart" uri="{C3380CC4-5D6E-409C-BE32-E72D297353CC}">
                <c16:uniqueId val="{00000007-86B7-4B53-A028-B9C2CEA89BD9}"/>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6B7-4B53-A028-B9C2CEA89BD9}"/>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6B7-4B53-A028-B9C2CEA89BD9}"/>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86B7-4B53-A028-B9C2CEA89BD9}"/>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86B7-4B53-A028-B9C2CEA89BD9}"/>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'Pivot Summary'!$B$18:$B$21</c:f>
              <c:strCache>
                <c:ptCount val="4"/>
                <c:pt idx="0">
                  <c:v>0-49 (Fail)</c:v>
                </c:pt>
                <c:pt idx="1">
                  <c:v>50-64 (Borderline)</c:v>
                </c:pt>
                <c:pt idx="2">
                  <c:v>65-79 (Good)</c:v>
                </c:pt>
                <c:pt idx="3">
                  <c:v>80-100 (Excellent)</c:v>
                </c:pt>
              </c:strCache>
            </c:strRef>
          </c:cat>
          <c:val>
            <c:numRef>
              <c:f>'Pivot Summary'!$C$18:$C$21</c:f>
              <c:numCache>
                <c:formatCode>General</c:formatCode>
                <c:ptCount val="4"/>
                <c:pt idx="0">
                  <c:v>197</c:v>
                </c:pt>
                <c:pt idx="1">
                  <c:v>272</c:v>
                </c:pt>
                <c:pt idx="2">
                  <c:v>283</c:v>
                </c:pt>
                <c:pt idx="3">
                  <c:v>248</c:v>
                </c:pt>
              </c:numCache>
            </c:numRef>
          </c:val>
          <c:extLst>
            <c:ext xmlns:c16="http://schemas.microsoft.com/office/drawing/2014/chart" uri="{C3380CC4-5D6E-409C-BE32-E72D297353CC}">
              <c16:uniqueId val="{00000008-86B7-4B53-A028-B9C2CEA89BD9}"/>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Score by Gender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Summary'!$B$46:$B$47</c:f>
              <c:strCache>
                <c:ptCount val="2"/>
                <c:pt idx="0">
                  <c:v>Male</c:v>
                </c:pt>
                <c:pt idx="1">
                  <c:v>Female</c:v>
                </c:pt>
              </c:strCache>
            </c:strRef>
          </c:cat>
          <c:val>
            <c:numRef>
              <c:f>'Pivot Summary'!$D$46:$D$47</c:f>
              <c:numCache>
                <c:formatCode>General</c:formatCode>
                <c:ptCount val="2"/>
                <c:pt idx="0">
                  <c:v>66.3</c:v>
                </c:pt>
                <c:pt idx="1">
                  <c:v>65.2</c:v>
                </c:pt>
              </c:numCache>
            </c:numRef>
          </c:val>
          <c:extLst>
            <c:ext xmlns:c16="http://schemas.microsoft.com/office/drawing/2014/chart" uri="{C3380CC4-5D6E-409C-BE32-E72D297353CC}">
              <c16:uniqueId val="{00000000-96E5-4202-B9F7-14E28FA985E7}"/>
            </c:ext>
          </c:extLst>
        </c:ser>
        <c:dLbls>
          <c:showLegendKey val="0"/>
          <c:showVal val="0"/>
          <c:showCatName val="0"/>
          <c:showSerName val="0"/>
          <c:showPercent val="0"/>
          <c:showBubbleSize val="0"/>
        </c:dLbls>
        <c:gapWidth val="150"/>
        <c:axId val="70001066"/>
        <c:axId val="54526044"/>
      </c:barChart>
      <c:catAx>
        <c:axId val="700010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526044"/>
        <c:crosses val="autoZero"/>
        <c:auto val="1"/>
        <c:lblAlgn val="ctr"/>
        <c:lblOffset val="100"/>
        <c:noMultiLvlLbl val="0"/>
      </c:catAx>
      <c:valAx>
        <c:axId val="545260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0010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Pass vs Fail by Gender</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Summary'!$B$58:$B$59</c:f>
              <c:strCache>
                <c:ptCount val="2"/>
                <c:pt idx="0">
                  <c:v>Male</c:v>
                </c:pt>
                <c:pt idx="1">
                  <c:v>Female</c:v>
                </c:pt>
              </c:strCache>
            </c:strRef>
          </c:cat>
          <c:val>
            <c:numRef>
              <c:f>'Pivot Summary'!$C$58:$C$59</c:f>
              <c:numCache>
                <c:formatCode>General</c:formatCode>
                <c:ptCount val="2"/>
                <c:pt idx="0">
                  <c:v>396</c:v>
                </c:pt>
                <c:pt idx="1">
                  <c:v>407</c:v>
                </c:pt>
              </c:numCache>
            </c:numRef>
          </c:val>
          <c:extLst>
            <c:ext xmlns:c16="http://schemas.microsoft.com/office/drawing/2014/chart" uri="{C3380CC4-5D6E-409C-BE32-E72D297353CC}">
              <c16:uniqueId val="{00000000-C76F-47EA-9D72-F675B09E8F5B}"/>
            </c:ext>
          </c:extLst>
        </c:ser>
        <c:ser>
          <c:idx val="1"/>
          <c:order val="1"/>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Summary'!$B$58:$B$59</c:f>
              <c:strCache>
                <c:ptCount val="2"/>
                <c:pt idx="0">
                  <c:v>Male</c:v>
                </c:pt>
                <c:pt idx="1">
                  <c:v>Female</c:v>
                </c:pt>
              </c:strCache>
            </c:strRef>
          </c:cat>
          <c:val>
            <c:numRef>
              <c:f>'Pivot Summary'!$D$58:$D$59</c:f>
              <c:numCache>
                <c:formatCode>General</c:formatCode>
                <c:ptCount val="2"/>
                <c:pt idx="0">
                  <c:v>89</c:v>
                </c:pt>
                <c:pt idx="1">
                  <c:v>108</c:v>
                </c:pt>
              </c:numCache>
            </c:numRef>
          </c:val>
          <c:extLst>
            <c:ext xmlns:c16="http://schemas.microsoft.com/office/drawing/2014/chart" uri="{C3380CC4-5D6E-409C-BE32-E72D297353CC}">
              <c16:uniqueId val="{00000001-C76F-47EA-9D72-F675B09E8F5B}"/>
            </c:ext>
          </c:extLst>
        </c:ser>
        <c:dLbls>
          <c:showLegendKey val="0"/>
          <c:showVal val="0"/>
          <c:showCatName val="0"/>
          <c:showSerName val="0"/>
          <c:showPercent val="0"/>
          <c:showBubbleSize val="0"/>
        </c:dLbls>
        <c:gapWidth val="150"/>
        <c:axId val="7221000"/>
        <c:axId val="47768996"/>
      </c:barChart>
      <c:catAx>
        <c:axId val="722100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7768996"/>
        <c:crosses val="autoZero"/>
        <c:auto val="1"/>
        <c:lblAlgn val="ctr"/>
        <c:lblOffset val="100"/>
        <c:noMultiLvlLbl val="0"/>
      </c:catAx>
      <c:valAx>
        <c:axId val="477689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210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Score by Section</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Summary'!$B$51:$B$54</c:f>
              <c:strCache>
                <c:ptCount val="4"/>
                <c:pt idx="0">
                  <c:v>A</c:v>
                </c:pt>
                <c:pt idx="1">
                  <c:v>B</c:v>
                </c:pt>
                <c:pt idx="2">
                  <c:v>C</c:v>
                </c:pt>
                <c:pt idx="3">
                  <c:v>D</c:v>
                </c:pt>
              </c:strCache>
            </c:strRef>
          </c:cat>
          <c:val>
            <c:numRef>
              <c:f>'Pivot Summary'!$D$51:$D$54</c:f>
              <c:numCache>
                <c:formatCode>General</c:formatCode>
                <c:ptCount val="4"/>
                <c:pt idx="0">
                  <c:v>66.8</c:v>
                </c:pt>
                <c:pt idx="1">
                  <c:v>64.900000000000006</c:v>
                </c:pt>
                <c:pt idx="2">
                  <c:v>66.3</c:v>
                </c:pt>
                <c:pt idx="3">
                  <c:v>64.5</c:v>
                </c:pt>
              </c:numCache>
            </c:numRef>
          </c:val>
          <c:extLst>
            <c:ext xmlns:c16="http://schemas.microsoft.com/office/drawing/2014/chart" uri="{C3380CC4-5D6E-409C-BE32-E72D297353CC}">
              <c16:uniqueId val="{00000000-9DD4-41EE-A272-D11C62202A3D}"/>
            </c:ext>
          </c:extLst>
        </c:ser>
        <c:dLbls>
          <c:showLegendKey val="0"/>
          <c:showVal val="0"/>
          <c:showCatName val="0"/>
          <c:showSerName val="0"/>
          <c:showPercent val="0"/>
          <c:showBubbleSize val="0"/>
        </c:dLbls>
        <c:gapWidth val="150"/>
        <c:axId val="53107450"/>
        <c:axId val="1516877"/>
      </c:barChart>
      <c:catAx>
        <c:axId val="531074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16877"/>
        <c:crosses val="autoZero"/>
        <c:auto val="1"/>
        <c:lblAlgn val="ctr"/>
        <c:lblOffset val="100"/>
        <c:noMultiLvlLbl val="0"/>
      </c:catAx>
      <c:valAx>
        <c:axId val="151687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10745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High Risk Count by Section</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Summary'!$B$63:$B$66</c:f>
              <c:strCache>
                <c:ptCount val="4"/>
                <c:pt idx="0">
                  <c:v>A</c:v>
                </c:pt>
                <c:pt idx="1">
                  <c:v>B</c:v>
                </c:pt>
                <c:pt idx="2">
                  <c:v>C</c:v>
                </c:pt>
                <c:pt idx="3">
                  <c:v>D</c:v>
                </c:pt>
              </c:strCache>
            </c:strRef>
          </c:cat>
          <c:val>
            <c:numRef>
              <c:f>'Pivot Summary'!$C$63:$C$66</c:f>
              <c:numCache>
                <c:formatCode>General</c:formatCode>
                <c:ptCount val="4"/>
                <c:pt idx="0">
                  <c:v>49</c:v>
                </c:pt>
                <c:pt idx="1">
                  <c:v>47</c:v>
                </c:pt>
                <c:pt idx="2">
                  <c:v>49</c:v>
                </c:pt>
                <c:pt idx="3">
                  <c:v>52</c:v>
                </c:pt>
              </c:numCache>
            </c:numRef>
          </c:val>
          <c:extLst>
            <c:ext xmlns:c16="http://schemas.microsoft.com/office/drawing/2014/chart" uri="{C3380CC4-5D6E-409C-BE32-E72D297353CC}">
              <c16:uniqueId val="{00000000-12D4-4F88-95A2-302A7732E85F}"/>
            </c:ext>
          </c:extLst>
        </c:ser>
        <c:dLbls>
          <c:showLegendKey val="0"/>
          <c:showVal val="0"/>
          <c:showCatName val="0"/>
          <c:showSerName val="0"/>
          <c:showPercent val="0"/>
          <c:showBubbleSize val="0"/>
        </c:dLbls>
        <c:gapWidth val="150"/>
        <c:axId val="96877459"/>
        <c:axId val="57820291"/>
      </c:barChart>
      <c:catAx>
        <c:axId val="968774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820291"/>
        <c:crosses val="autoZero"/>
        <c:auto val="1"/>
        <c:lblAlgn val="ctr"/>
        <c:lblOffset val="100"/>
        <c:noMultiLvlLbl val="0"/>
      </c:catAx>
      <c:valAx>
        <c:axId val="5782029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High Risk Students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87745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142200</xdr:rowOff>
    </xdr:from>
    <xdr:to>
      <xdr:col>6</xdr:col>
      <xdr:colOff>450720</xdr:colOff>
      <xdr:row>24</xdr:row>
      <xdr:rowOff>164520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142200</xdr:rowOff>
    </xdr:from>
    <xdr:to>
      <xdr:col>11</xdr:col>
      <xdr:colOff>450360</xdr:colOff>
      <xdr:row>24</xdr:row>
      <xdr:rowOff>164520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27</xdr:row>
      <xdr:rowOff>142200</xdr:rowOff>
    </xdr:from>
    <xdr:to>
      <xdr:col>6</xdr:col>
      <xdr:colOff>450720</xdr:colOff>
      <xdr:row>42</xdr:row>
      <xdr:rowOff>164520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45</xdr:row>
      <xdr:rowOff>142200</xdr:rowOff>
    </xdr:from>
    <xdr:to>
      <xdr:col>6</xdr:col>
      <xdr:colOff>450720</xdr:colOff>
      <xdr:row>60</xdr:row>
      <xdr:rowOff>164520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45</xdr:row>
      <xdr:rowOff>142200</xdr:rowOff>
    </xdr:from>
    <xdr:to>
      <xdr:col>11</xdr:col>
      <xdr:colOff>450360</xdr:colOff>
      <xdr:row>60</xdr:row>
      <xdr:rowOff>164520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63</xdr:row>
      <xdr:rowOff>142200</xdr:rowOff>
    </xdr:from>
    <xdr:to>
      <xdr:col>6</xdr:col>
      <xdr:colOff>450720</xdr:colOff>
      <xdr:row>78</xdr:row>
      <xdr:rowOff>164520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63</xdr:row>
      <xdr:rowOff>142200</xdr:rowOff>
    </xdr:from>
    <xdr:to>
      <xdr:col>11</xdr:col>
      <xdr:colOff>450360</xdr:colOff>
      <xdr:row>78</xdr:row>
      <xdr:rowOff>164520</xdr:rowOff>
    </xdr:to>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81</xdr:row>
      <xdr:rowOff>142200</xdr:rowOff>
    </xdr:from>
    <xdr:to>
      <xdr:col>6</xdr:col>
      <xdr:colOff>450720</xdr:colOff>
      <xdr:row>96</xdr:row>
      <xdr:rowOff>164520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0</xdr:colOff>
      <xdr:row>81</xdr:row>
      <xdr:rowOff>142200</xdr:rowOff>
    </xdr:from>
    <xdr:to>
      <xdr:col>11</xdr:col>
      <xdr:colOff>450360</xdr:colOff>
      <xdr:row>96</xdr:row>
      <xdr:rowOff>164520</xdr:rowOff>
    </xdr:to>
    <xdr:graphicFrame macro="">
      <xdr:nvGraphicFramePr>
        <xdr:cNvPr id="10" name="Chart 9">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99</xdr:row>
      <xdr:rowOff>142200</xdr:rowOff>
    </xdr:from>
    <xdr:to>
      <xdr:col>6</xdr:col>
      <xdr:colOff>450720</xdr:colOff>
      <xdr:row>114</xdr:row>
      <xdr:rowOff>164520</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0</xdr:colOff>
      <xdr:row>117</xdr:row>
      <xdr:rowOff>142200</xdr:rowOff>
    </xdr:from>
    <xdr:to>
      <xdr:col>6</xdr:col>
      <xdr:colOff>450720</xdr:colOff>
      <xdr:row>132</xdr:row>
      <xdr:rowOff>164520</xdr:rowOff>
    </xdr:to>
    <xdr:graphicFrame macro="">
      <xdr:nvGraphicFramePr>
        <xdr:cNvPr id="12" name="Chart 11">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0</xdr:colOff>
      <xdr:row>117</xdr:row>
      <xdr:rowOff>142200</xdr:rowOff>
    </xdr:from>
    <xdr:to>
      <xdr:col>11</xdr:col>
      <xdr:colOff>450360</xdr:colOff>
      <xdr:row>132</xdr:row>
      <xdr:rowOff>164520</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0</xdr:colOff>
      <xdr:row>135</xdr:row>
      <xdr:rowOff>142200</xdr:rowOff>
    </xdr:from>
    <xdr:to>
      <xdr:col>6</xdr:col>
      <xdr:colOff>450720</xdr:colOff>
      <xdr:row>150</xdr:row>
      <xdr:rowOff>164520</xdr:rowOff>
    </xdr:to>
    <xdr:graphicFrame macro="">
      <xdr:nvGraphicFramePr>
        <xdr:cNvPr id="14" name="Chart 13">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0</xdr:colOff>
      <xdr:row>135</xdr:row>
      <xdr:rowOff>142200</xdr:rowOff>
    </xdr:from>
    <xdr:to>
      <xdr:col>11</xdr:col>
      <xdr:colOff>450360</xdr:colOff>
      <xdr:row>150</xdr:row>
      <xdr:rowOff>164520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udentDataTable" displayName="StudentDataTable" ref="A2:M1002" totalsRowShown="0">
  <autoFilter ref="A2:M1002" xr:uid="{00000000-0009-0000-0100-000001000000}"/>
  <tableColumns count="13">
    <tableColumn id="1" xr3:uid="{00000000-0010-0000-0000-000001000000}" name="Student ID"/>
    <tableColumn id="2" xr3:uid="{00000000-0010-0000-0000-000002000000}" name="Name"/>
    <tableColumn id="3" xr3:uid="{00000000-0010-0000-0000-000003000000}" name="Gender"/>
    <tableColumn id="4" xr3:uid="{00000000-0010-0000-0000-000004000000}" name="Section"/>
    <tableColumn id="5" xr3:uid="{00000000-0010-0000-0000-000005000000}" name="Attendance (%)"/>
    <tableColumn id="6" xr3:uid="{00000000-0010-0000-0000-000006000000}" name="Study Hours/Week"/>
    <tableColumn id="7" xr3:uid="{00000000-0010-0000-0000-000007000000}" name="Previous Marks (%)"/>
    <tableColumn id="8" xr3:uid="{00000000-0010-0000-0000-000008000000}" name="Performance Score"/>
    <tableColumn id="9" xr3:uid="{00000000-0010-0000-0000-000009000000}" name="Predicted Result"/>
    <tableColumn id="10" xr3:uid="{00000000-0010-0000-0000-00000A000000}" name="Risk Level"/>
    <tableColumn id="11" xr3:uid="{00000000-0010-0000-0000-00000B000000}" name="Notes"/>
    <tableColumn id="12" xr3:uid="{00000000-0010-0000-0000-00000C000000}" name="HighRiskRank"/>
    <tableColumn id="13" xr3:uid="{00000000-0010-0000-0000-00000D000000}" name="PerfRan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B2:B49"/>
  <sheetViews>
    <sheetView topLeftCell="A41" zoomScaleNormal="100" workbookViewId="0">
      <selection activeCell="B7" sqref="B7"/>
    </sheetView>
  </sheetViews>
  <sheetFormatPr defaultColWidth="8.6328125" defaultRowHeight="14.5" x14ac:dyDescent="0.35"/>
  <cols>
    <col min="2" max="2" width="100" customWidth="1"/>
  </cols>
  <sheetData>
    <row r="2" spans="2:2" ht="20" x14ac:dyDescent="0.4">
      <c r="B2" s="3" t="s">
        <v>0</v>
      </c>
    </row>
    <row r="3" spans="2:2" x14ac:dyDescent="0.35">
      <c r="B3" s="4" t="s">
        <v>1</v>
      </c>
    </row>
    <row r="5" spans="2:2" ht="18" customHeight="1" x14ac:dyDescent="0.35">
      <c r="B5" s="2" t="s">
        <v>2</v>
      </c>
    </row>
    <row r="6" spans="2:2" ht="60" customHeight="1" x14ac:dyDescent="0.35">
      <c r="B6" s="5" t="s">
        <v>3</v>
      </c>
    </row>
    <row r="7" spans="2:2" ht="45" customHeight="1" x14ac:dyDescent="0.35">
      <c r="B7" s="5" t="s">
        <v>1932</v>
      </c>
    </row>
    <row r="9" spans="2:2" ht="18" customHeight="1" x14ac:dyDescent="0.35">
      <c r="B9" s="2" t="s">
        <v>4</v>
      </c>
    </row>
    <row r="10" spans="2:2" ht="30" customHeight="1" x14ac:dyDescent="0.35">
      <c r="B10" s="5" t="s">
        <v>5</v>
      </c>
    </row>
    <row r="11" spans="2:2" ht="45" customHeight="1" x14ac:dyDescent="0.35">
      <c r="B11" s="5" t="s">
        <v>6</v>
      </c>
    </row>
    <row r="12" spans="2:2" ht="45" customHeight="1" x14ac:dyDescent="0.35">
      <c r="B12" s="5" t="s">
        <v>7</v>
      </c>
    </row>
    <row r="13" spans="2:2" ht="45" customHeight="1" x14ac:dyDescent="0.35">
      <c r="B13" s="5" t="s">
        <v>8</v>
      </c>
    </row>
    <row r="15" spans="2:2" ht="18" customHeight="1" x14ac:dyDescent="0.35">
      <c r="B15" s="2" t="s">
        <v>9</v>
      </c>
    </row>
    <row r="16" spans="2:2" ht="30" customHeight="1" x14ac:dyDescent="0.35">
      <c r="B16" s="5" t="s">
        <v>10</v>
      </c>
    </row>
    <row r="17" spans="2:2" ht="15" customHeight="1" x14ac:dyDescent="0.35">
      <c r="B17" s="5" t="s">
        <v>11</v>
      </c>
    </row>
    <row r="18" spans="2:2" ht="15" customHeight="1" x14ac:dyDescent="0.35">
      <c r="B18" s="5" t="s">
        <v>12</v>
      </c>
    </row>
    <row r="19" spans="2:2" ht="60" customHeight="1" x14ac:dyDescent="0.35">
      <c r="B19" s="5" t="s">
        <v>13</v>
      </c>
    </row>
    <row r="21" spans="2:2" ht="18" customHeight="1" x14ac:dyDescent="0.35">
      <c r="B21" s="2" t="s">
        <v>14</v>
      </c>
    </row>
    <row r="22" spans="2:2" ht="60" customHeight="1" x14ac:dyDescent="0.35">
      <c r="B22" s="5" t="s">
        <v>15</v>
      </c>
    </row>
    <row r="23" spans="2:2" ht="45" customHeight="1" x14ac:dyDescent="0.35">
      <c r="B23" s="5" t="s">
        <v>16</v>
      </c>
    </row>
    <row r="24" spans="2:2" ht="30" customHeight="1" x14ac:dyDescent="0.35">
      <c r="B24" s="5" t="s">
        <v>17</v>
      </c>
    </row>
    <row r="26" spans="2:2" ht="18" customHeight="1" x14ac:dyDescent="0.35">
      <c r="B26" s="2" t="s">
        <v>18</v>
      </c>
    </row>
    <row r="27" spans="2:2" ht="15" customHeight="1" x14ac:dyDescent="0.35">
      <c r="B27" s="5" t="s">
        <v>19</v>
      </c>
    </row>
    <row r="28" spans="2:2" ht="15" customHeight="1" x14ac:dyDescent="0.35">
      <c r="B28" s="5" t="s">
        <v>20</v>
      </c>
    </row>
    <row r="29" spans="2:2" ht="30" customHeight="1" x14ac:dyDescent="0.35">
      <c r="B29" s="5" t="s">
        <v>21</v>
      </c>
    </row>
    <row r="30" spans="2:2" ht="30" customHeight="1" x14ac:dyDescent="0.35">
      <c r="B30" s="5" t="s">
        <v>22</v>
      </c>
    </row>
    <row r="31" spans="2:2" ht="30" customHeight="1" x14ac:dyDescent="0.35">
      <c r="B31" s="5" t="s">
        <v>23</v>
      </c>
    </row>
    <row r="32" spans="2:2" ht="30" customHeight="1" x14ac:dyDescent="0.35">
      <c r="B32" s="5" t="s">
        <v>24</v>
      </c>
    </row>
    <row r="33" spans="2:2" ht="30" customHeight="1" x14ac:dyDescent="0.35">
      <c r="B33" s="5" t="s">
        <v>25</v>
      </c>
    </row>
    <row r="34" spans="2:2" ht="30" customHeight="1" x14ac:dyDescent="0.35">
      <c r="B34" s="5" t="s">
        <v>26</v>
      </c>
    </row>
    <row r="35" spans="2:2" ht="30" customHeight="1" x14ac:dyDescent="0.35">
      <c r="B35" s="5" t="s">
        <v>27</v>
      </c>
    </row>
    <row r="37" spans="2:2" ht="18" customHeight="1" x14ac:dyDescent="0.35">
      <c r="B37" s="2" t="s">
        <v>28</v>
      </c>
    </row>
    <row r="38" spans="2:2" ht="15" customHeight="1" x14ac:dyDescent="0.35">
      <c r="B38" s="5" t="s">
        <v>29</v>
      </c>
    </row>
    <row r="39" spans="2:2" ht="30" customHeight="1" x14ac:dyDescent="0.35">
      <c r="B39" s="5" t="s">
        <v>30</v>
      </c>
    </row>
    <row r="40" spans="2:2" ht="30" customHeight="1" x14ac:dyDescent="0.35">
      <c r="B40" s="5" t="s">
        <v>31</v>
      </c>
    </row>
    <row r="41" spans="2:2" ht="45" customHeight="1" x14ac:dyDescent="0.35">
      <c r="B41" s="5" t="s">
        <v>32</v>
      </c>
    </row>
    <row r="42" spans="2:2" ht="30" customHeight="1" x14ac:dyDescent="0.35">
      <c r="B42" s="5" t="s">
        <v>33</v>
      </c>
    </row>
    <row r="44" spans="2:2" ht="18" customHeight="1" x14ac:dyDescent="0.35">
      <c r="B44" s="2" t="s">
        <v>34</v>
      </c>
    </row>
    <row r="45" spans="2:2" ht="30" customHeight="1" x14ac:dyDescent="0.35">
      <c r="B45" s="5" t="s">
        <v>35</v>
      </c>
    </row>
    <row r="46" spans="2:2" ht="45" customHeight="1" x14ac:dyDescent="0.35">
      <c r="B46" s="5" t="s">
        <v>36</v>
      </c>
    </row>
    <row r="47" spans="2:2" ht="30" customHeight="1" x14ac:dyDescent="0.35">
      <c r="B47" s="5" t="s">
        <v>37</v>
      </c>
    </row>
    <row r="48" spans="2:2" ht="30" customHeight="1" x14ac:dyDescent="0.35">
      <c r="B48" s="5" t="s">
        <v>38</v>
      </c>
    </row>
    <row r="49" spans="2:2" ht="30" customHeight="1" x14ac:dyDescent="0.35">
      <c r="B49" s="5" t="s">
        <v>39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M1002"/>
  <sheetViews>
    <sheetView topLeftCell="E1" zoomScaleNormal="100" workbookViewId="0">
      <pane ySplit="2" topLeftCell="A5" activePane="bottomLeft" state="frozen"/>
      <selection pane="bottomLeft" activeCell="M3" sqref="M3"/>
    </sheetView>
  </sheetViews>
  <sheetFormatPr defaultColWidth="8.6328125" defaultRowHeight="14.5" x14ac:dyDescent="0.35"/>
  <cols>
    <col min="1" max="1" width="11" customWidth="1"/>
    <col min="2" max="2" width="16" customWidth="1"/>
    <col min="3" max="4" width="9" customWidth="1"/>
    <col min="5" max="5" width="14" customWidth="1"/>
    <col min="6" max="6" width="15" customWidth="1"/>
    <col min="7" max="8" width="16" customWidth="1"/>
    <col min="9" max="9" width="15" customWidth="1"/>
    <col min="10" max="10" width="13" customWidth="1"/>
    <col min="11" max="11" width="20" customWidth="1"/>
    <col min="12" max="12" width="22.90625" customWidth="1"/>
    <col min="13" max="13" width="17" customWidth="1"/>
  </cols>
  <sheetData>
    <row r="1" spans="1:13" x14ac:dyDescent="0.35">
      <c r="A1" s="14" t="s">
        <v>40</v>
      </c>
      <c r="B1" s="14"/>
      <c r="C1" s="14"/>
      <c r="D1" s="14"/>
      <c r="E1" s="14"/>
      <c r="F1" s="14"/>
      <c r="G1" s="14"/>
      <c r="H1" s="14"/>
      <c r="I1" s="14"/>
      <c r="J1" s="14"/>
      <c r="K1" s="14"/>
      <c r="L1" s="14"/>
      <c r="M1" s="14"/>
    </row>
    <row r="2" spans="1:13" x14ac:dyDescent="0.35">
      <c r="A2" s="6" t="s">
        <v>41</v>
      </c>
      <c r="B2" s="6" t="s">
        <v>42</v>
      </c>
      <c r="C2" s="6" t="s">
        <v>43</v>
      </c>
      <c r="D2" s="6" t="s">
        <v>44</v>
      </c>
      <c r="E2" s="6" t="s">
        <v>45</v>
      </c>
      <c r="F2" s="6" t="s">
        <v>46</v>
      </c>
      <c r="G2" s="6" t="s">
        <v>47</v>
      </c>
      <c r="H2" s="6" t="s">
        <v>48</v>
      </c>
      <c r="I2" s="6" t="s">
        <v>49</v>
      </c>
      <c r="J2" s="6" t="s">
        <v>50</v>
      </c>
      <c r="K2" s="6" t="s">
        <v>51</v>
      </c>
      <c r="L2" s="6" t="s">
        <v>52</v>
      </c>
      <c r="M2" s="6" t="s">
        <v>53</v>
      </c>
    </row>
    <row r="3" spans="1:13" x14ac:dyDescent="0.35">
      <c r="A3" s="7" t="s">
        <v>54</v>
      </c>
      <c r="B3" s="7" t="s">
        <v>55</v>
      </c>
      <c r="C3" s="8" t="s">
        <v>56</v>
      </c>
      <c r="D3" s="8" t="s">
        <v>57</v>
      </c>
      <c r="E3" s="8">
        <v>92</v>
      </c>
      <c r="F3" s="8">
        <v>5</v>
      </c>
      <c r="G3" s="8">
        <v>56</v>
      </c>
      <c r="H3" s="7">
        <f t="shared" ref="H3:H66" si="0">ROUND(0.4*G3+0.3*E3+0.3*MIN(F3/10,1)*100,1)</f>
        <v>65</v>
      </c>
      <c r="I3" s="7" t="str">
        <f t="shared" ref="I3:I66" si="1">IF(H3&gt;=50,"PASS","FAIL")</f>
        <v>PASS</v>
      </c>
      <c r="J3" s="7" t="str">
        <f t="shared" ref="J3:J66" si="2">IF(H3&lt;50,"High Risk",IF(H3&lt;65,"Medium Risk","Low Risk"))</f>
        <v>Low Risk</v>
      </c>
      <c r="L3" s="7" t="str">
        <f>IF(J3="High Risk",COUNTIF($J$3:J3,"High Risk"),"")</f>
        <v/>
      </c>
      <c r="M3" s="7">
        <f>RANK(H3,$H$3:$H$1002,0)+COUNTIF($H$3:H3,H3)-1</f>
        <v>531</v>
      </c>
    </row>
    <row r="4" spans="1:13" x14ac:dyDescent="0.35">
      <c r="A4" s="7" t="s">
        <v>58</v>
      </c>
      <c r="B4" s="7" t="s">
        <v>59</v>
      </c>
      <c r="C4" s="8" t="s">
        <v>56</v>
      </c>
      <c r="D4" s="8" t="s">
        <v>57</v>
      </c>
      <c r="E4" s="8">
        <v>87.3</v>
      </c>
      <c r="F4" s="8">
        <v>5.7</v>
      </c>
      <c r="G4" s="8">
        <v>69</v>
      </c>
      <c r="H4" s="7">
        <f t="shared" si="0"/>
        <v>70.900000000000006</v>
      </c>
      <c r="I4" s="7" t="str">
        <f t="shared" si="1"/>
        <v>PASS</v>
      </c>
      <c r="J4" s="7" t="str">
        <f t="shared" si="2"/>
        <v>Low Risk</v>
      </c>
      <c r="L4" s="7" t="str">
        <f>IF(J4="High Risk",COUNTIF($J$3:J4,"High Risk"),"")</f>
        <v/>
      </c>
      <c r="M4" s="7">
        <f>RANK(H4,$H$3:$H$1002,0)+COUNTIF($H$3:H4,H4)-1</f>
        <v>412</v>
      </c>
    </row>
    <row r="5" spans="1:13" x14ac:dyDescent="0.35">
      <c r="A5" s="7" t="s">
        <v>60</v>
      </c>
      <c r="B5" s="7" t="s">
        <v>61</v>
      </c>
      <c r="C5" s="8" t="s">
        <v>62</v>
      </c>
      <c r="D5" s="8" t="s">
        <v>63</v>
      </c>
      <c r="E5" s="8">
        <v>74.8</v>
      </c>
      <c r="F5" s="8">
        <v>7.1</v>
      </c>
      <c r="G5" s="8">
        <v>55</v>
      </c>
      <c r="H5" s="7">
        <f t="shared" si="0"/>
        <v>65.7</v>
      </c>
      <c r="I5" s="7" t="str">
        <f t="shared" si="1"/>
        <v>PASS</v>
      </c>
      <c r="J5" s="7" t="str">
        <f t="shared" si="2"/>
        <v>Low Risk</v>
      </c>
      <c r="L5" s="7" t="str">
        <f>IF(J5="High Risk",COUNTIF($J$3:J5,"High Risk"),"")</f>
        <v/>
      </c>
      <c r="M5" s="7">
        <f>RANK(H5,$H$3:$H$1002,0)+COUNTIF($H$3:H5,H5)-1</f>
        <v>516</v>
      </c>
    </row>
    <row r="6" spans="1:13" x14ac:dyDescent="0.35">
      <c r="A6" s="7" t="s">
        <v>64</v>
      </c>
      <c r="B6" s="7" t="s">
        <v>65</v>
      </c>
      <c r="C6" s="8" t="s">
        <v>62</v>
      </c>
      <c r="D6" s="8" t="s">
        <v>57</v>
      </c>
      <c r="E6" s="8">
        <v>71.900000000000006</v>
      </c>
      <c r="F6" s="8">
        <v>4.9000000000000004</v>
      </c>
      <c r="G6" s="8">
        <v>70</v>
      </c>
      <c r="H6" s="7">
        <f t="shared" si="0"/>
        <v>64.3</v>
      </c>
      <c r="I6" s="7" t="str">
        <f t="shared" si="1"/>
        <v>PASS</v>
      </c>
      <c r="J6" s="7" t="str">
        <f t="shared" si="2"/>
        <v>Medium Risk</v>
      </c>
      <c r="L6" s="7" t="str">
        <f>IF(J6="High Risk",COUNTIF($J$3:J6,"High Risk"),"")</f>
        <v/>
      </c>
      <c r="M6" s="7">
        <f>RANK(H6,$H$3:$H$1002,0)+COUNTIF($H$3:H6,H6)-1</f>
        <v>539</v>
      </c>
    </row>
    <row r="7" spans="1:13" x14ac:dyDescent="0.35">
      <c r="A7" s="7" t="s">
        <v>66</v>
      </c>
      <c r="B7" s="7" t="s">
        <v>67</v>
      </c>
      <c r="C7" s="8" t="s">
        <v>62</v>
      </c>
      <c r="D7" s="8" t="s">
        <v>68</v>
      </c>
      <c r="E7" s="8">
        <v>62.8</v>
      </c>
      <c r="F7" s="8">
        <v>7.3</v>
      </c>
      <c r="G7" s="8">
        <v>61</v>
      </c>
      <c r="H7" s="7">
        <f t="shared" si="0"/>
        <v>65.099999999999994</v>
      </c>
      <c r="I7" s="7" t="str">
        <f t="shared" si="1"/>
        <v>PASS</v>
      </c>
      <c r="J7" s="7" t="str">
        <f t="shared" si="2"/>
        <v>Low Risk</v>
      </c>
      <c r="L7" s="7" t="str">
        <f>IF(J7="High Risk",COUNTIF($J$3:J7,"High Risk"),"")</f>
        <v/>
      </c>
      <c r="M7" s="7">
        <f>RANK(H7,$H$3:$H$1002,0)+COUNTIF($H$3:H7,H7)-1</f>
        <v>530</v>
      </c>
    </row>
    <row r="8" spans="1:13" x14ac:dyDescent="0.35">
      <c r="A8" s="7" t="s">
        <v>69</v>
      </c>
      <c r="B8" s="7" t="s">
        <v>70</v>
      </c>
      <c r="C8" s="8" t="s">
        <v>62</v>
      </c>
      <c r="D8" s="8" t="s">
        <v>63</v>
      </c>
      <c r="E8" s="8">
        <v>79.7</v>
      </c>
      <c r="F8" s="8">
        <v>8</v>
      </c>
      <c r="G8" s="8">
        <v>76</v>
      </c>
      <c r="H8" s="7">
        <f t="shared" si="0"/>
        <v>78.3</v>
      </c>
      <c r="I8" s="7" t="str">
        <f t="shared" si="1"/>
        <v>PASS</v>
      </c>
      <c r="J8" s="7" t="str">
        <f t="shared" si="2"/>
        <v>Low Risk</v>
      </c>
      <c r="L8" s="7" t="str">
        <f>IF(J8="High Risk",COUNTIF($J$3:J8,"High Risk"),"")</f>
        <v/>
      </c>
      <c r="M8" s="7">
        <f>RANK(H8,$H$3:$H$1002,0)+COUNTIF($H$3:H8,H8)-1</f>
        <v>273</v>
      </c>
    </row>
    <row r="9" spans="1:13" x14ac:dyDescent="0.35">
      <c r="A9" s="7" t="s">
        <v>71</v>
      </c>
      <c r="B9" s="7" t="s">
        <v>72</v>
      </c>
      <c r="C9" s="8" t="s">
        <v>56</v>
      </c>
      <c r="D9" s="8" t="s">
        <v>68</v>
      </c>
      <c r="E9" s="8">
        <v>80.8</v>
      </c>
      <c r="F9" s="8">
        <v>7.6</v>
      </c>
      <c r="G9" s="8">
        <v>89</v>
      </c>
      <c r="H9" s="7">
        <f t="shared" si="0"/>
        <v>82.6</v>
      </c>
      <c r="I9" s="7" t="str">
        <f t="shared" si="1"/>
        <v>PASS</v>
      </c>
      <c r="J9" s="7" t="str">
        <f t="shared" si="2"/>
        <v>Low Risk</v>
      </c>
      <c r="L9" s="7" t="str">
        <f>IF(J9="High Risk",COUNTIF($J$3:J9,"High Risk"),"")</f>
        <v/>
      </c>
      <c r="M9" s="7">
        <f>RANK(H9,$H$3:$H$1002,0)+COUNTIF($H$3:H9,H9)-1</f>
        <v>205</v>
      </c>
    </row>
    <row r="10" spans="1:13" x14ac:dyDescent="0.35">
      <c r="A10" s="7" t="s">
        <v>73</v>
      </c>
      <c r="B10" s="7" t="s">
        <v>74</v>
      </c>
      <c r="C10" s="8" t="s">
        <v>62</v>
      </c>
      <c r="D10" s="8" t="s">
        <v>75</v>
      </c>
      <c r="E10" s="8">
        <v>52.9</v>
      </c>
      <c r="F10" s="8">
        <v>3.8</v>
      </c>
      <c r="G10" s="8">
        <v>51</v>
      </c>
      <c r="H10" s="7">
        <f t="shared" si="0"/>
        <v>47.7</v>
      </c>
      <c r="I10" s="7" t="str">
        <f t="shared" si="1"/>
        <v>FAIL</v>
      </c>
      <c r="J10" s="7" t="str">
        <f t="shared" si="2"/>
        <v>High Risk</v>
      </c>
      <c r="L10" s="7">
        <f>IF(J10="High Risk",COUNTIF($J$3:J10,"High Risk"),"")</f>
        <v>1</v>
      </c>
      <c r="M10" s="7">
        <f>RANK(H10,$H$3:$H$1002,0)+COUNTIF($H$3:H10,H10)-1</f>
        <v>827</v>
      </c>
    </row>
    <row r="11" spans="1:13" x14ac:dyDescent="0.35">
      <c r="A11" s="7" t="s">
        <v>76</v>
      </c>
      <c r="B11" s="7" t="s">
        <v>77</v>
      </c>
      <c r="C11" s="8" t="s">
        <v>56</v>
      </c>
      <c r="D11" s="8" t="s">
        <v>57</v>
      </c>
      <c r="E11" s="8">
        <v>64.900000000000006</v>
      </c>
      <c r="F11" s="8">
        <v>6.5</v>
      </c>
      <c r="G11" s="8">
        <v>49</v>
      </c>
      <c r="H11" s="7">
        <f t="shared" si="0"/>
        <v>58.6</v>
      </c>
      <c r="I11" s="7" t="str">
        <f t="shared" si="1"/>
        <v>PASS</v>
      </c>
      <c r="J11" s="7" t="str">
        <f t="shared" si="2"/>
        <v>Medium Risk</v>
      </c>
      <c r="L11" s="7" t="str">
        <f>IF(J11="High Risk",COUNTIF($J$3:J11,"High Risk"),"")</f>
        <v/>
      </c>
      <c r="M11" s="7">
        <f>RANK(H11,$H$3:$H$1002,0)+COUNTIF($H$3:H11,H11)-1</f>
        <v>651</v>
      </c>
    </row>
    <row r="12" spans="1:13" x14ac:dyDescent="0.35">
      <c r="A12" s="7" t="s">
        <v>78</v>
      </c>
      <c r="B12" s="7" t="s">
        <v>79</v>
      </c>
      <c r="C12" s="8" t="s">
        <v>56</v>
      </c>
      <c r="D12" s="8" t="s">
        <v>68</v>
      </c>
      <c r="E12" s="8">
        <v>71.099999999999994</v>
      </c>
      <c r="F12" s="8">
        <v>7.8</v>
      </c>
      <c r="G12" s="8">
        <v>68</v>
      </c>
      <c r="H12" s="7">
        <f t="shared" si="0"/>
        <v>71.900000000000006</v>
      </c>
      <c r="I12" s="7" t="str">
        <f t="shared" si="1"/>
        <v>PASS</v>
      </c>
      <c r="J12" s="7" t="str">
        <f t="shared" si="2"/>
        <v>Low Risk</v>
      </c>
      <c r="L12" s="7" t="str">
        <f>IF(J12="High Risk",COUNTIF($J$3:J12,"High Risk"),"")</f>
        <v/>
      </c>
      <c r="M12" s="7">
        <f>RANK(H12,$H$3:$H$1002,0)+COUNTIF($H$3:H12,H12)-1</f>
        <v>386</v>
      </c>
    </row>
    <row r="13" spans="1:13" x14ac:dyDescent="0.35">
      <c r="A13" s="7" t="s">
        <v>80</v>
      </c>
      <c r="B13" s="7" t="s">
        <v>81</v>
      </c>
      <c r="C13" s="8" t="s">
        <v>62</v>
      </c>
      <c r="D13" s="8" t="s">
        <v>68</v>
      </c>
      <c r="E13" s="8">
        <v>48</v>
      </c>
      <c r="F13" s="8">
        <v>2.9</v>
      </c>
      <c r="G13" s="8">
        <v>51</v>
      </c>
      <c r="H13" s="7">
        <f t="shared" si="0"/>
        <v>43.5</v>
      </c>
      <c r="I13" s="7" t="str">
        <f t="shared" si="1"/>
        <v>FAIL</v>
      </c>
      <c r="J13" s="7" t="str">
        <f t="shared" si="2"/>
        <v>High Risk</v>
      </c>
      <c r="L13" s="7">
        <f>IF(J13="High Risk",COUNTIF($J$3:J13,"High Risk"),"")</f>
        <v>2</v>
      </c>
      <c r="M13" s="7">
        <f>RANK(H13,$H$3:$H$1002,0)+COUNTIF($H$3:H13,H13)-1</f>
        <v>866</v>
      </c>
    </row>
    <row r="14" spans="1:13" x14ac:dyDescent="0.35">
      <c r="A14" s="7" t="s">
        <v>82</v>
      </c>
      <c r="B14" s="7" t="s">
        <v>83</v>
      </c>
      <c r="C14" s="8" t="s">
        <v>62</v>
      </c>
      <c r="D14" s="8" t="s">
        <v>57</v>
      </c>
      <c r="E14" s="8">
        <v>64.5</v>
      </c>
      <c r="F14" s="8">
        <v>5.9</v>
      </c>
      <c r="G14" s="8">
        <v>57</v>
      </c>
      <c r="H14" s="7">
        <f t="shared" si="0"/>
        <v>59.9</v>
      </c>
      <c r="I14" s="7" t="str">
        <f t="shared" si="1"/>
        <v>PASS</v>
      </c>
      <c r="J14" s="7" t="str">
        <f t="shared" si="2"/>
        <v>Medium Risk</v>
      </c>
      <c r="L14" s="7" t="str">
        <f>IF(J14="High Risk",COUNTIF($J$3:J14,"High Risk"),"")</f>
        <v/>
      </c>
      <c r="M14" s="7">
        <f>RANK(H14,$H$3:$H$1002,0)+COUNTIF($H$3:H14,H14)-1</f>
        <v>623</v>
      </c>
    </row>
    <row r="15" spans="1:13" x14ac:dyDescent="0.35">
      <c r="A15" s="7" t="s">
        <v>84</v>
      </c>
      <c r="B15" s="7" t="s">
        <v>85</v>
      </c>
      <c r="C15" s="8" t="s">
        <v>62</v>
      </c>
      <c r="D15" s="8" t="s">
        <v>68</v>
      </c>
      <c r="E15" s="8">
        <v>93.4</v>
      </c>
      <c r="F15" s="8">
        <v>8</v>
      </c>
      <c r="G15" s="8">
        <v>62</v>
      </c>
      <c r="H15" s="7">
        <f t="shared" si="0"/>
        <v>76.8</v>
      </c>
      <c r="I15" s="7" t="str">
        <f t="shared" si="1"/>
        <v>PASS</v>
      </c>
      <c r="J15" s="7" t="str">
        <f t="shared" si="2"/>
        <v>Low Risk</v>
      </c>
      <c r="L15" s="7" t="str">
        <f>IF(J15="High Risk",COUNTIF($J$3:J15,"High Risk"),"")</f>
        <v/>
      </c>
      <c r="M15" s="7">
        <f>RANK(H15,$H$3:$H$1002,0)+COUNTIF($H$3:H15,H15)-1</f>
        <v>292</v>
      </c>
    </row>
    <row r="16" spans="1:13" x14ac:dyDescent="0.35">
      <c r="A16" s="7" t="s">
        <v>86</v>
      </c>
      <c r="B16" s="7" t="s">
        <v>87</v>
      </c>
      <c r="C16" s="8" t="s">
        <v>56</v>
      </c>
      <c r="D16" s="8" t="s">
        <v>68</v>
      </c>
      <c r="E16" s="8">
        <v>71.599999999999994</v>
      </c>
      <c r="F16" s="8">
        <v>0.8</v>
      </c>
      <c r="G16" s="8">
        <v>76</v>
      </c>
      <c r="H16" s="7">
        <f t="shared" si="0"/>
        <v>54.3</v>
      </c>
      <c r="I16" s="7" t="str">
        <f t="shared" si="1"/>
        <v>PASS</v>
      </c>
      <c r="J16" s="7" t="str">
        <f t="shared" si="2"/>
        <v>Medium Risk</v>
      </c>
      <c r="L16" s="7" t="str">
        <f>IF(J16="High Risk",COUNTIF($J$3:J16,"High Risk"),"")</f>
        <v/>
      </c>
      <c r="M16" s="7">
        <f>RANK(H16,$H$3:$H$1002,0)+COUNTIF($H$3:H16,H16)-1</f>
        <v>726</v>
      </c>
    </row>
    <row r="17" spans="1:13" x14ac:dyDescent="0.35">
      <c r="A17" s="7" t="s">
        <v>88</v>
      </c>
      <c r="B17" s="7" t="s">
        <v>89</v>
      </c>
      <c r="C17" s="8" t="s">
        <v>62</v>
      </c>
      <c r="D17" s="8" t="s">
        <v>68</v>
      </c>
      <c r="E17" s="8">
        <v>68.3</v>
      </c>
      <c r="F17" s="8">
        <v>7.7</v>
      </c>
      <c r="G17" s="8">
        <v>54</v>
      </c>
      <c r="H17" s="7">
        <f t="shared" si="0"/>
        <v>65.2</v>
      </c>
      <c r="I17" s="7" t="str">
        <f t="shared" si="1"/>
        <v>PASS</v>
      </c>
      <c r="J17" s="7" t="str">
        <f t="shared" si="2"/>
        <v>Low Risk</v>
      </c>
      <c r="L17" s="7" t="str">
        <f>IF(J17="High Risk",COUNTIF($J$3:J17,"High Risk"),"")</f>
        <v/>
      </c>
      <c r="M17" s="7">
        <f>RANK(H17,$H$3:$H$1002,0)+COUNTIF($H$3:H17,H17)-1</f>
        <v>526</v>
      </c>
    </row>
    <row r="18" spans="1:13" x14ac:dyDescent="0.35">
      <c r="A18" s="7" t="s">
        <v>90</v>
      </c>
      <c r="B18" s="7" t="s">
        <v>91</v>
      </c>
      <c r="C18" s="8" t="s">
        <v>62</v>
      </c>
      <c r="D18" s="8" t="s">
        <v>75</v>
      </c>
      <c r="E18" s="8">
        <v>45</v>
      </c>
      <c r="F18" s="8">
        <v>1.1000000000000001</v>
      </c>
      <c r="G18" s="8">
        <v>26</v>
      </c>
      <c r="H18" s="7">
        <f t="shared" si="0"/>
        <v>27.2</v>
      </c>
      <c r="I18" s="7" t="str">
        <f t="shared" si="1"/>
        <v>FAIL</v>
      </c>
      <c r="J18" s="7" t="str">
        <f t="shared" si="2"/>
        <v>High Risk</v>
      </c>
      <c r="L18" s="7">
        <f>IF(J18="High Risk",COUNTIF($J$3:J18,"High Risk"),"")</f>
        <v>3</v>
      </c>
      <c r="M18" s="7">
        <f>RANK(H18,$H$3:$H$1002,0)+COUNTIF($H$3:H18,H18)-1</f>
        <v>977</v>
      </c>
    </row>
    <row r="19" spans="1:13" x14ac:dyDescent="0.35">
      <c r="A19" s="7" t="s">
        <v>92</v>
      </c>
      <c r="B19" s="7" t="s">
        <v>93</v>
      </c>
      <c r="C19" s="8" t="s">
        <v>56</v>
      </c>
      <c r="D19" s="8" t="s">
        <v>57</v>
      </c>
      <c r="E19" s="8">
        <v>43.8</v>
      </c>
      <c r="F19" s="8">
        <v>1.4</v>
      </c>
      <c r="G19" s="8">
        <v>44</v>
      </c>
      <c r="H19" s="7">
        <f t="shared" si="0"/>
        <v>34.9</v>
      </c>
      <c r="I19" s="7" t="str">
        <f t="shared" si="1"/>
        <v>FAIL</v>
      </c>
      <c r="J19" s="7" t="str">
        <f t="shared" si="2"/>
        <v>High Risk</v>
      </c>
      <c r="L19" s="7">
        <f>IF(J19="High Risk",COUNTIF($J$3:J19,"High Risk"),"")</f>
        <v>4</v>
      </c>
      <c r="M19" s="7">
        <f>RANK(H19,$H$3:$H$1002,0)+COUNTIF($H$3:H19,H19)-1</f>
        <v>945</v>
      </c>
    </row>
    <row r="20" spans="1:13" x14ac:dyDescent="0.35">
      <c r="A20" s="7" t="s">
        <v>94</v>
      </c>
      <c r="B20" s="7" t="s">
        <v>95</v>
      </c>
      <c r="C20" s="8" t="s">
        <v>62</v>
      </c>
      <c r="D20" s="8" t="s">
        <v>75</v>
      </c>
      <c r="E20" s="8">
        <v>68.599999999999994</v>
      </c>
      <c r="F20" s="8">
        <v>8.1</v>
      </c>
      <c r="G20" s="8">
        <v>68</v>
      </c>
      <c r="H20" s="7">
        <f t="shared" si="0"/>
        <v>72.099999999999994</v>
      </c>
      <c r="I20" s="7" t="str">
        <f t="shared" si="1"/>
        <v>PASS</v>
      </c>
      <c r="J20" s="7" t="str">
        <f t="shared" si="2"/>
        <v>Low Risk</v>
      </c>
      <c r="L20" s="7" t="str">
        <f>IF(J20="High Risk",COUNTIF($J$3:J20,"High Risk"),"")</f>
        <v/>
      </c>
      <c r="M20" s="7">
        <f>RANK(H20,$H$3:$H$1002,0)+COUNTIF($H$3:H20,H20)-1</f>
        <v>379</v>
      </c>
    </row>
    <row r="21" spans="1:13" x14ac:dyDescent="0.35">
      <c r="A21" s="7" t="s">
        <v>96</v>
      </c>
      <c r="B21" s="7" t="s">
        <v>97</v>
      </c>
      <c r="C21" s="8" t="s">
        <v>56</v>
      </c>
      <c r="D21" s="8" t="s">
        <v>75</v>
      </c>
      <c r="E21" s="8">
        <v>100</v>
      </c>
      <c r="F21" s="8">
        <v>10.6</v>
      </c>
      <c r="G21" s="8">
        <v>97</v>
      </c>
      <c r="H21" s="7">
        <f t="shared" si="0"/>
        <v>98.8</v>
      </c>
      <c r="I21" s="7" t="str">
        <f t="shared" si="1"/>
        <v>PASS</v>
      </c>
      <c r="J21" s="7" t="str">
        <f t="shared" si="2"/>
        <v>Low Risk</v>
      </c>
      <c r="L21" s="7" t="str">
        <f>IF(J21="High Risk",COUNTIF($J$3:J21,"High Risk"),"")</f>
        <v/>
      </c>
      <c r="M21" s="7">
        <f>RANK(H21,$H$3:$H$1002,0)+COUNTIF($H$3:H21,H21)-1</f>
        <v>23</v>
      </c>
    </row>
    <row r="22" spans="1:13" x14ac:dyDescent="0.35">
      <c r="A22" s="7" t="s">
        <v>98</v>
      </c>
      <c r="B22" s="7" t="s">
        <v>99</v>
      </c>
      <c r="C22" s="8" t="s">
        <v>56</v>
      </c>
      <c r="D22" s="8" t="s">
        <v>75</v>
      </c>
      <c r="E22" s="8">
        <v>100</v>
      </c>
      <c r="F22" s="8">
        <v>9.9</v>
      </c>
      <c r="G22" s="8">
        <v>84</v>
      </c>
      <c r="H22" s="7">
        <f t="shared" si="0"/>
        <v>93.3</v>
      </c>
      <c r="I22" s="7" t="str">
        <f t="shared" si="1"/>
        <v>PASS</v>
      </c>
      <c r="J22" s="7" t="str">
        <f t="shared" si="2"/>
        <v>Low Risk</v>
      </c>
      <c r="L22" s="7" t="str">
        <f>IF(J22="High Risk",COUNTIF($J$3:J22,"High Risk"),"")</f>
        <v/>
      </c>
      <c r="M22" s="7">
        <f>RANK(H22,$H$3:$H$1002,0)+COUNTIF($H$3:H22,H22)-1</f>
        <v>70</v>
      </c>
    </row>
    <row r="23" spans="1:13" x14ac:dyDescent="0.35">
      <c r="A23" s="7" t="s">
        <v>100</v>
      </c>
      <c r="B23" s="7" t="s">
        <v>101</v>
      </c>
      <c r="C23" s="8" t="s">
        <v>62</v>
      </c>
      <c r="D23" s="8" t="s">
        <v>57</v>
      </c>
      <c r="E23" s="8">
        <v>79.900000000000006</v>
      </c>
      <c r="F23" s="8">
        <v>8.4</v>
      </c>
      <c r="G23" s="8">
        <v>84</v>
      </c>
      <c r="H23" s="7">
        <f t="shared" si="0"/>
        <v>82.8</v>
      </c>
      <c r="I23" s="7" t="str">
        <f t="shared" si="1"/>
        <v>PASS</v>
      </c>
      <c r="J23" s="7" t="str">
        <f t="shared" si="2"/>
        <v>Low Risk</v>
      </c>
      <c r="L23" s="7" t="str">
        <f>IF(J23="High Risk",COUNTIF($J$3:J23,"High Risk"),"")</f>
        <v/>
      </c>
      <c r="M23" s="7">
        <f>RANK(H23,$H$3:$H$1002,0)+COUNTIF($H$3:H23,H23)-1</f>
        <v>201</v>
      </c>
    </row>
    <row r="24" spans="1:13" x14ac:dyDescent="0.35">
      <c r="A24" s="7" t="s">
        <v>102</v>
      </c>
      <c r="B24" s="7" t="s">
        <v>103</v>
      </c>
      <c r="C24" s="8" t="s">
        <v>56</v>
      </c>
      <c r="D24" s="8" t="s">
        <v>75</v>
      </c>
      <c r="E24" s="8">
        <v>61.3</v>
      </c>
      <c r="F24" s="8">
        <v>6.5</v>
      </c>
      <c r="G24" s="8">
        <v>54</v>
      </c>
      <c r="H24" s="7">
        <f t="shared" si="0"/>
        <v>59.5</v>
      </c>
      <c r="I24" s="7" t="str">
        <f t="shared" si="1"/>
        <v>PASS</v>
      </c>
      <c r="J24" s="7" t="str">
        <f t="shared" si="2"/>
        <v>Medium Risk</v>
      </c>
      <c r="L24" s="7" t="str">
        <f>IF(J24="High Risk",COUNTIF($J$3:J24,"High Risk"),"")</f>
        <v/>
      </c>
      <c r="M24" s="7">
        <f>RANK(H24,$H$3:$H$1002,0)+COUNTIF($H$3:H24,H24)-1</f>
        <v>633</v>
      </c>
    </row>
    <row r="25" spans="1:13" x14ac:dyDescent="0.35">
      <c r="A25" s="7" t="s">
        <v>104</v>
      </c>
      <c r="B25" s="7" t="s">
        <v>105</v>
      </c>
      <c r="C25" s="8" t="s">
        <v>56</v>
      </c>
      <c r="D25" s="8" t="s">
        <v>75</v>
      </c>
      <c r="E25" s="8">
        <v>62.7</v>
      </c>
      <c r="F25" s="8">
        <v>4.5999999999999996</v>
      </c>
      <c r="G25" s="8">
        <v>58</v>
      </c>
      <c r="H25" s="7">
        <f t="shared" si="0"/>
        <v>55.8</v>
      </c>
      <c r="I25" s="7" t="str">
        <f t="shared" si="1"/>
        <v>PASS</v>
      </c>
      <c r="J25" s="7" t="str">
        <f t="shared" si="2"/>
        <v>Medium Risk</v>
      </c>
      <c r="L25" s="7" t="str">
        <f>IF(J25="High Risk",COUNTIF($J$3:J25,"High Risk"),"")</f>
        <v/>
      </c>
      <c r="M25" s="7">
        <f>RANK(H25,$H$3:$H$1002,0)+COUNTIF($H$3:H25,H25)-1</f>
        <v>699</v>
      </c>
    </row>
    <row r="26" spans="1:13" x14ac:dyDescent="0.35">
      <c r="A26" s="7" t="s">
        <v>106</v>
      </c>
      <c r="B26" s="7" t="s">
        <v>105</v>
      </c>
      <c r="C26" s="8" t="s">
        <v>56</v>
      </c>
      <c r="D26" s="8" t="s">
        <v>68</v>
      </c>
      <c r="E26" s="8">
        <v>76.3</v>
      </c>
      <c r="F26" s="8">
        <v>6.8</v>
      </c>
      <c r="G26" s="8">
        <v>79</v>
      </c>
      <c r="H26" s="7">
        <f t="shared" si="0"/>
        <v>74.900000000000006</v>
      </c>
      <c r="I26" s="7" t="str">
        <f t="shared" si="1"/>
        <v>PASS</v>
      </c>
      <c r="J26" s="7" t="str">
        <f t="shared" si="2"/>
        <v>Low Risk</v>
      </c>
      <c r="L26" s="7" t="str">
        <f>IF(J26="High Risk",COUNTIF($J$3:J26,"High Risk"),"")</f>
        <v/>
      </c>
      <c r="M26" s="7">
        <f>RANK(H26,$H$3:$H$1002,0)+COUNTIF($H$3:H26,H26)-1</f>
        <v>323</v>
      </c>
    </row>
    <row r="27" spans="1:13" x14ac:dyDescent="0.35">
      <c r="A27" s="7" t="s">
        <v>107</v>
      </c>
      <c r="B27" s="7" t="s">
        <v>108</v>
      </c>
      <c r="C27" s="8" t="s">
        <v>56</v>
      </c>
      <c r="D27" s="8" t="s">
        <v>63</v>
      </c>
      <c r="E27" s="8">
        <v>82.5</v>
      </c>
      <c r="F27" s="8">
        <v>8.5</v>
      </c>
      <c r="G27" s="8">
        <v>87</v>
      </c>
      <c r="H27" s="7">
        <f t="shared" si="0"/>
        <v>85.1</v>
      </c>
      <c r="I27" s="7" t="str">
        <f t="shared" si="1"/>
        <v>PASS</v>
      </c>
      <c r="J27" s="7" t="str">
        <f t="shared" si="2"/>
        <v>Low Risk</v>
      </c>
      <c r="L27" s="7" t="str">
        <f>IF(J27="High Risk",COUNTIF($J$3:J27,"High Risk"),"")</f>
        <v/>
      </c>
      <c r="M27" s="7">
        <f>RANK(H27,$H$3:$H$1002,0)+COUNTIF($H$3:H27,H27)-1</f>
        <v>166</v>
      </c>
    </row>
    <row r="28" spans="1:13" x14ac:dyDescent="0.35">
      <c r="A28" s="7" t="s">
        <v>109</v>
      </c>
      <c r="B28" s="7" t="s">
        <v>110</v>
      </c>
      <c r="C28" s="8" t="s">
        <v>62</v>
      </c>
      <c r="D28" s="8" t="s">
        <v>57</v>
      </c>
      <c r="E28" s="8">
        <v>64.2</v>
      </c>
      <c r="F28" s="8">
        <v>0.8</v>
      </c>
      <c r="G28" s="8">
        <v>53</v>
      </c>
      <c r="H28" s="7">
        <f t="shared" si="0"/>
        <v>42.9</v>
      </c>
      <c r="I28" s="7" t="str">
        <f t="shared" si="1"/>
        <v>FAIL</v>
      </c>
      <c r="J28" s="7" t="str">
        <f t="shared" si="2"/>
        <v>High Risk</v>
      </c>
      <c r="L28" s="7">
        <f>IF(J28="High Risk",COUNTIF($J$3:J28,"High Risk"),"")</f>
        <v>5</v>
      </c>
      <c r="M28" s="7">
        <f>RANK(H28,$H$3:$H$1002,0)+COUNTIF($H$3:H28,H28)-1</f>
        <v>872</v>
      </c>
    </row>
    <row r="29" spans="1:13" x14ac:dyDescent="0.35">
      <c r="A29" s="7" t="s">
        <v>111</v>
      </c>
      <c r="B29" s="7" t="s">
        <v>112</v>
      </c>
      <c r="C29" s="8" t="s">
        <v>56</v>
      </c>
      <c r="D29" s="8" t="s">
        <v>63</v>
      </c>
      <c r="E29" s="8">
        <v>73.599999999999994</v>
      </c>
      <c r="F29" s="8">
        <v>7.2</v>
      </c>
      <c r="G29" s="8">
        <v>75</v>
      </c>
      <c r="H29" s="7">
        <f t="shared" si="0"/>
        <v>73.7</v>
      </c>
      <c r="I29" s="7" t="str">
        <f t="shared" si="1"/>
        <v>PASS</v>
      </c>
      <c r="J29" s="7" t="str">
        <f t="shared" si="2"/>
        <v>Low Risk</v>
      </c>
      <c r="L29" s="7" t="str">
        <f>IF(J29="High Risk",COUNTIF($J$3:J29,"High Risk"),"")</f>
        <v/>
      </c>
      <c r="M29" s="7">
        <f>RANK(H29,$H$3:$H$1002,0)+COUNTIF($H$3:H29,H29)-1</f>
        <v>345</v>
      </c>
    </row>
    <row r="30" spans="1:13" x14ac:dyDescent="0.35">
      <c r="A30" s="7" t="s">
        <v>113</v>
      </c>
      <c r="B30" s="7" t="s">
        <v>114</v>
      </c>
      <c r="C30" s="8" t="s">
        <v>56</v>
      </c>
      <c r="D30" s="8" t="s">
        <v>57</v>
      </c>
      <c r="E30" s="8">
        <v>93.2</v>
      </c>
      <c r="F30" s="8">
        <v>2.7</v>
      </c>
      <c r="G30" s="8">
        <v>70</v>
      </c>
      <c r="H30" s="7">
        <f t="shared" si="0"/>
        <v>64.099999999999994</v>
      </c>
      <c r="I30" s="7" t="str">
        <f t="shared" si="1"/>
        <v>PASS</v>
      </c>
      <c r="J30" s="7" t="str">
        <f t="shared" si="2"/>
        <v>Medium Risk</v>
      </c>
      <c r="L30" s="7" t="str">
        <f>IF(J30="High Risk",COUNTIF($J$3:J30,"High Risk"),"")</f>
        <v/>
      </c>
      <c r="M30" s="7">
        <f>RANK(H30,$H$3:$H$1002,0)+COUNTIF($H$3:H30,H30)-1</f>
        <v>544</v>
      </c>
    </row>
    <row r="31" spans="1:13" x14ac:dyDescent="0.35">
      <c r="A31" s="7" t="s">
        <v>115</v>
      </c>
      <c r="B31" s="7" t="s">
        <v>116</v>
      </c>
      <c r="C31" s="8" t="s">
        <v>56</v>
      </c>
      <c r="D31" s="8" t="s">
        <v>68</v>
      </c>
      <c r="E31" s="8">
        <v>77.3</v>
      </c>
      <c r="F31" s="8">
        <v>12.5</v>
      </c>
      <c r="G31" s="8">
        <v>79</v>
      </c>
      <c r="H31" s="7">
        <f t="shared" si="0"/>
        <v>84.8</v>
      </c>
      <c r="I31" s="7" t="str">
        <f t="shared" si="1"/>
        <v>PASS</v>
      </c>
      <c r="J31" s="7" t="str">
        <f t="shared" si="2"/>
        <v>Low Risk</v>
      </c>
      <c r="L31" s="7" t="str">
        <f>IF(J31="High Risk",COUNTIF($J$3:J31,"High Risk"),"")</f>
        <v/>
      </c>
      <c r="M31" s="7">
        <f>RANK(H31,$H$3:$H$1002,0)+COUNTIF($H$3:H31,H31)-1</f>
        <v>170</v>
      </c>
    </row>
    <row r="32" spans="1:13" x14ac:dyDescent="0.35">
      <c r="A32" s="7" t="s">
        <v>117</v>
      </c>
      <c r="B32" s="7" t="s">
        <v>118</v>
      </c>
      <c r="C32" s="8" t="s">
        <v>56</v>
      </c>
      <c r="D32" s="8" t="s">
        <v>75</v>
      </c>
      <c r="E32" s="8">
        <v>83.4</v>
      </c>
      <c r="F32" s="8">
        <v>9.6</v>
      </c>
      <c r="G32" s="8">
        <v>87</v>
      </c>
      <c r="H32" s="7">
        <f t="shared" si="0"/>
        <v>88.6</v>
      </c>
      <c r="I32" s="7" t="str">
        <f t="shared" si="1"/>
        <v>PASS</v>
      </c>
      <c r="J32" s="7" t="str">
        <f t="shared" si="2"/>
        <v>Low Risk</v>
      </c>
      <c r="L32" s="7" t="str">
        <f>IF(J32="High Risk",COUNTIF($J$3:J32,"High Risk"),"")</f>
        <v/>
      </c>
      <c r="M32" s="7">
        <f>RANK(H32,$H$3:$H$1002,0)+COUNTIF($H$3:H32,H32)-1</f>
        <v>121</v>
      </c>
    </row>
    <row r="33" spans="1:13" x14ac:dyDescent="0.35">
      <c r="A33" s="7" t="s">
        <v>119</v>
      </c>
      <c r="B33" s="7" t="s">
        <v>120</v>
      </c>
      <c r="C33" s="8" t="s">
        <v>62</v>
      </c>
      <c r="D33" s="8" t="s">
        <v>68</v>
      </c>
      <c r="E33" s="8">
        <v>62.2</v>
      </c>
      <c r="F33" s="8">
        <v>9.1999999999999993</v>
      </c>
      <c r="G33" s="8">
        <v>44</v>
      </c>
      <c r="H33" s="7">
        <f t="shared" si="0"/>
        <v>63.9</v>
      </c>
      <c r="I33" s="7" t="str">
        <f t="shared" si="1"/>
        <v>PASS</v>
      </c>
      <c r="J33" s="7" t="str">
        <f t="shared" si="2"/>
        <v>Medium Risk</v>
      </c>
      <c r="L33" s="7" t="str">
        <f>IF(J33="High Risk",COUNTIF($J$3:J33,"High Risk"),"")</f>
        <v/>
      </c>
      <c r="M33" s="7">
        <f>RANK(H33,$H$3:$H$1002,0)+COUNTIF($H$3:H33,H33)-1</f>
        <v>547</v>
      </c>
    </row>
    <row r="34" spans="1:13" x14ac:dyDescent="0.35">
      <c r="A34" s="7" t="s">
        <v>121</v>
      </c>
      <c r="B34" s="7" t="s">
        <v>122</v>
      </c>
      <c r="C34" s="8" t="s">
        <v>62</v>
      </c>
      <c r="D34" s="8" t="s">
        <v>75</v>
      </c>
      <c r="E34" s="8">
        <v>92.3</v>
      </c>
      <c r="F34" s="8">
        <v>6.3</v>
      </c>
      <c r="G34" s="8">
        <v>81</v>
      </c>
      <c r="H34" s="7">
        <f t="shared" si="0"/>
        <v>79</v>
      </c>
      <c r="I34" s="7" t="str">
        <f t="shared" si="1"/>
        <v>PASS</v>
      </c>
      <c r="J34" s="7" t="str">
        <f t="shared" si="2"/>
        <v>Low Risk</v>
      </c>
      <c r="L34" s="7" t="str">
        <f>IF(J34="High Risk",COUNTIF($J$3:J34,"High Risk"),"")</f>
        <v/>
      </c>
      <c r="M34" s="7">
        <f>RANK(H34,$H$3:$H$1002,0)+COUNTIF($H$3:H34,H34)-1</f>
        <v>261</v>
      </c>
    </row>
    <row r="35" spans="1:13" x14ac:dyDescent="0.35">
      <c r="A35" s="7" t="s">
        <v>123</v>
      </c>
      <c r="B35" s="7" t="s">
        <v>124</v>
      </c>
      <c r="C35" s="8" t="s">
        <v>56</v>
      </c>
      <c r="D35" s="8" t="s">
        <v>75</v>
      </c>
      <c r="E35" s="8">
        <v>86.4</v>
      </c>
      <c r="F35" s="8">
        <v>10.7</v>
      </c>
      <c r="G35" s="8">
        <v>84</v>
      </c>
      <c r="H35" s="7">
        <f t="shared" si="0"/>
        <v>89.5</v>
      </c>
      <c r="I35" s="7" t="str">
        <f t="shared" si="1"/>
        <v>PASS</v>
      </c>
      <c r="J35" s="7" t="str">
        <f t="shared" si="2"/>
        <v>Low Risk</v>
      </c>
      <c r="L35" s="7" t="str">
        <f>IF(J35="High Risk",COUNTIF($J$3:J35,"High Risk"),"")</f>
        <v/>
      </c>
      <c r="M35" s="7">
        <f>RANK(H35,$H$3:$H$1002,0)+COUNTIF($H$3:H35,H35)-1</f>
        <v>111</v>
      </c>
    </row>
    <row r="36" spans="1:13" x14ac:dyDescent="0.35">
      <c r="A36" s="7" t="s">
        <v>125</v>
      </c>
      <c r="B36" s="7" t="s">
        <v>126</v>
      </c>
      <c r="C36" s="8" t="s">
        <v>56</v>
      </c>
      <c r="D36" s="8" t="s">
        <v>57</v>
      </c>
      <c r="E36" s="8">
        <v>78.599999999999994</v>
      </c>
      <c r="F36" s="8">
        <v>9.8000000000000007</v>
      </c>
      <c r="G36" s="8">
        <v>72</v>
      </c>
      <c r="H36" s="7">
        <f t="shared" si="0"/>
        <v>81.8</v>
      </c>
      <c r="I36" s="7" t="str">
        <f t="shared" si="1"/>
        <v>PASS</v>
      </c>
      <c r="J36" s="7" t="str">
        <f t="shared" si="2"/>
        <v>Low Risk</v>
      </c>
      <c r="L36" s="7" t="str">
        <f>IF(J36="High Risk",COUNTIF($J$3:J36,"High Risk"),"")</f>
        <v/>
      </c>
      <c r="M36" s="7">
        <f>RANK(H36,$H$3:$H$1002,0)+COUNTIF($H$3:H36,H36)-1</f>
        <v>215</v>
      </c>
    </row>
    <row r="37" spans="1:13" x14ac:dyDescent="0.35">
      <c r="A37" s="7" t="s">
        <v>127</v>
      </c>
      <c r="B37" s="7" t="s">
        <v>128</v>
      </c>
      <c r="C37" s="8" t="s">
        <v>56</v>
      </c>
      <c r="D37" s="8" t="s">
        <v>75</v>
      </c>
      <c r="E37" s="8">
        <v>54.3</v>
      </c>
      <c r="F37" s="8">
        <v>4.5</v>
      </c>
      <c r="G37" s="8">
        <v>47</v>
      </c>
      <c r="H37" s="7">
        <f t="shared" si="0"/>
        <v>48.6</v>
      </c>
      <c r="I37" s="7" t="str">
        <f t="shared" si="1"/>
        <v>FAIL</v>
      </c>
      <c r="J37" s="7" t="str">
        <f t="shared" si="2"/>
        <v>High Risk</v>
      </c>
      <c r="L37" s="7">
        <f>IF(J37="High Risk",COUNTIF($J$3:J37,"High Risk"),"")</f>
        <v>6</v>
      </c>
      <c r="M37" s="7">
        <f>RANK(H37,$H$3:$H$1002,0)+COUNTIF($H$3:H37,H37)-1</f>
        <v>820</v>
      </c>
    </row>
    <row r="38" spans="1:13" x14ac:dyDescent="0.35">
      <c r="A38" s="7" t="s">
        <v>129</v>
      </c>
      <c r="B38" s="7" t="s">
        <v>130</v>
      </c>
      <c r="C38" s="8" t="s">
        <v>62</v>
      </c>
      <c r="D38" s="8" t="s">
        <v>75</v>
      </c>
      <c r="E38" s="8">
        <v>63.1</v>
      </c>
      <c r="F38" s="8">
        <v>3.8</v>
      </c>
      <c r="G38" s="8">
        <v>70</v>
      </c>
      <c r="H38" s="7">
        <f t="shared" si="0"/>
        <v>58.3</v>
      </c>
      <c r="I38" s="7" t="str">
        <f t="shared" si="1"/>
        <v>PASS</v>
      </c>
      <c r="J38" s="7" t="str">
        <f t="shared" si="2"/>
        <v>Medium Risk</v>
      </c>
      <c r="L38" s="7" t="str">
        <f>IF(J38="High Risk",COUNTIF($J$3:J38,"High Risk"),"")</f>
        <v/>
      </c>
      <c r="M38" s="7">
        <f>RANK(H38,$H$3:$H$1002,0)+COUNTIF($H$3:H38,H38)-1</f>
        <v>655</v>
      </c>
    </row>
    <row r="39" spans="1:13" x14ac:dyDescent="0.35">
      <c r="A39" s="7" t="s">
        <v>131</v>
      </c>
      <c r="B39" s="7" t="s">
        <v>132</v>
      </c>
      <c r="C39" s="8" t="s">
        <v>56</v>
      </c>
      <c r="D39" s="8" t="s">
        <v>63</v>
      </c>
      <c r="E39" s="8">
        <v>67.2</v>
      </c>
      <c r="F39" s="8">
        <v>2.9</v>
      </c>
      <c r="G39" s="8">
        <v>57</v>
      </c>
      <c r="H39" s="7">
        <f t="shared" si="0"/>
        <v>51.7</v>
      </c>
      <c r="I39" s="7" t="str">
        <f t="shared" si="1"/>
        <v>PASS</v>
      </c>
      <c r="J39" s="7" t="str">
        <f t="shared" si="2"/>
        <v>Medium Risk</v>
      </c>
      <c r="L39" s="7" t="str">
        <f>IF(J39="High Risk",COUNTIF($J$3:J39,"High Risk"),"")</f>
        <v/>
      </c>
      <c r="M39" s="7">
        <f>RANK(H39,$H$3:$H$1002,0)+COUNTIF($H$3:H39,H39)-1</f>
        <v>774</v>
      </c>
    </row>
    <row r="40" spans="1:13" x14ac:dyDescent="0.35">
      <c r="A40" s="7" t="s">
        <v>133</v>
      </c>
      <c r="B40" s="7" t="s">
        <v>134</v>
      </c>
      <c r="C40" s="8" t="s">
        <v>56</v>
      </c>
      <c r="D40" s="8" t="s">
        <v>68</v>
      </c>
      <c r="E40" s="8">
        <v>80.2</v>
      </c>
      <c r="F40" s="8">
        <v>9.6</v>
      </c>
      <c r="G40" s="8">
        <v>87</v>
      </c>
      <c r="H40" s="7">
        <f t="shared" si="0"/>
        <v>87.7</v>
      </c>
      <c r="I40" s="7" t="str">
        <f t="shared" si="1"/>
        <v>PASS</v>
      </c>
      <c r="J40" s="7" t="str">
        <f t="shared" si="2"/>
        <v>Low Risk</v>
      </c>
      <c r="L40" s="7" t="str">
        <f>IF(J40="High Risk",COUNTIF($J$3:J40,"High Risk"),"")</f>
        <v/>
      </c>
      <c r="M40" s="7">
        <f>RANK(H40,$H$3:$H$1002,0)+COUNTIF($H$3:H40,H40)-1</f>
        <v>130</v>
      </c>
    </row>
    <row r="41" spans="1:13" x14ac:dyDescent="0.35">
      <c r="A41" s="7" t="s">
        <v>135</v>
      </c>
      <c r="B41" s="7" t="s">
        <v>136</v>
      </c>
      <c r="C41" s="8" t="s">
        <v>62</v>
      </c>
      <c r="D41" s="8" t="s">
        <v>63</v>
      </c>
      <c r="E41" s="8">
        <v>100</v>
      </c>
      <c r="F41" s="8">
        <v>9.8000000000000007</v>
      </c>
      <c r="G41" s="8">
        <v>100</v>
      </c>
      <c r="H41" s="7">
        <f t="shared" si="0"/>
        <v>99.4</v>
      </c>
      <c r="I41" s="7" t="str">
        <f t="shared" si="1"/>
        <v>PASS</v>
      </c>
      <c r="J41" s="7" t="str">
        <f t="shared" si="2"/>
        <v>Low Risk</v>
      </c>
      <c r="L41" s="7" t="str">
        <f>IF(J41="High Risk",COUNTIF($J$3:J41,"High Risk"),"")</f>
        <v/>
      </c>
      <c r="M41" s="7">
        <f>RANK(H41,$H$3:$H$1002,0)+COUNTIF($H$3:H41,H41)-1</f>
        <v>16</v>
      </c>
    </row>
    <row r="42" spans="1:13" x14ac:dyDescent="0.35">
      <c r="A42" s="7" t="s">
        <v>137</v>
      </c>
      <c r="B42" s="7" t="s">
        <v>138</v>
      </c>
      <c r="C42" s="8" t="s">
        <v>56</v>
      </c>
      <c r="D42" s="8" t="s">
        <v>68</v>
      </c>
      <c r="E42" s="8">
        <v>69.900000000000006</v>
      </c>
      <c r="F42" s="8">
        <v>5.7</v>
      </c>
      <c r="G42" s="8">
        <v>69</v>
      </c>
      <c r="H42" s="7">
        <f t="shared" si="0"/>
        <v>65.7</v>
      </c>
      <c r="I42" s="7" t="str">
        <f t="shared" si="1"/>
        <v>PASS</v>
      </c>
      <c r="J42" s="7" t="str">
        <f t="shared" si="2"/>
        <v>Low Risk</v>
      </c>
      <c r="L42" s="7" t="str">
        <f>IF(J42="High Risk",COUNTIF($J$3:J42,"High Risk"),"")</f>
        <v/>
      </c>
      <c r="M42" s="7">
        <f>RANK(H42,$H$3:$H$1002,0)+COUNTIF($H$3:H42,H42)-1</f>
        <v>517</v>
      </c>
    </row>
    <row r="43" spans="1:13" x14ac:dyDescent="0.35">
      <c r="A43" s="7" t="s">
        <v>139</v>
      </c>
      <c r="B43" s="7" t="s">
        <v>140</v>
      </c>
      <c r="C43" s="8" t="s">
        <v>62</v>
      </c>
      <c r="D43" s="8" t="s">
        <v>63</v>
      </c>
      <c r="E43" s="8">
        <v>82.7</v>
      </c>
      <c r="F43" s="8">
        <v>8.6</v>
      </c>
      <c r="G43" s="8">
        <v>56</v>
      </c>
      <c r="H43" s="7">
        <f t="shared" si="0"/>
        <v>73</v>
      </c>
      <c r="I43" s="7" t="str">
        <f t="shared" si="1"/>
        <v>PASS</v>
      </c>
      <c r="J43" s="7" t="str">
        <f t="shared" si="2"/>
        <v>Low Risk</v>
      </c>
      <c r="L43" s="7" t="str">
        <f>IF(J43="High Risk",COUNTIF($J$3:J43,"High Risk"),"")</f>
        <v/>
      </c>
      <c r="M43" s="7">
        <f>RANK(H43,$H$3:$H$1002,0)+COUNTIF($H$3:H43,H43)-1</f>
        <v>360</v>
      </c>
    </row>
    <row r="44" spans="1:13" x14ac:dyDescent="0.35">
      <c r="A44" s="7" t="s">
        <v>141</v>
      </c>
      <c r="B44" s="7" t="s">
        <v>142</v>
      </c>
      <c r="C44" s="8" t="s">
        <v>56</v>
      </c>
      <c r="D44" s="8" t="s">
        <v>68</v>
      </c>
      <c r="E44" s="8">
        <v>90</v>
      </c>
      <c r="F44" s="8">
        <v>11.6</v>
      </c>
      <c r="G44" s="8">
        <v>92</v>
      </c>
      <c r="H44" s="7">
        <f t="shared" si="0"/>
        <v>93.8</v>
      </c>
      <c r="I44" s="7" t="str">
        <f t="shared" si="1"/>
        <v>PASS</v>
      </c>
      <c r="J44" s="7" t="str">
        <f t="shared" si="2"/>
        <v>Low Risk</v>
      </c>
      <c r="L44" s="7" t="str">
        <f>IF(J44="High Risk",COUNTIF($J$3:J44,"High Risk"),"")</f>
        <v/>
      </c>
      <c r="M44" s="7">
        <f>RANK(H44,$H$3:$H$1002,0)+COUNTIF($H$3:H44,H44)-1</f>
        <v>66</v>
      </c>
    </row>
    <row r="45" spans="1:13" x14ac:dyDescent="0.35">
      <c r="A45" s="7" t="s">
        <v>143</v>
      </c>
      <c r="B45" s="7" t="s">
        <v>144</v>
      </c>
      <c r="C45" s="8" t="s">
        <v>56</v>
      </c>
      <c r="D45" s="8" t="s">
        <v>63</v>
      </c>
      <c r="E45" s="8">
        <v>73.599999999999994</v>
      </c>
      <c r="F45" s="8">
        <v>9</v>
      </c>
      <c r="G45" s="8">
        <v>70</v>
      </c>
      <c r="H45" s="7">
        <f t="shared" si="0"/>
        <v>77.099999999999994</v>
      </c>
      <c r="I45" s="7" t="str">
        <f t="shared" si="1"/>
        <v>PASS</v>
      </c>
      <c r="J45" s="7" t="str">
        <f t="shared" si="2"/>
        <v>Low Risk</v>
      </c>
      <c r="L45" s="7" t="str">
        <f>IF(J45="High Risk",COUNTIF($J$3:J45,"High Risk"),"")</f>
        <v/>
      </c>
      <c r="M45" s="7">
        <f>RANK(H45,$H$3:$H$1002,0)+COUNTIF($H$3:H45,H45)-1</f>
        <v>287</v>
      </c>
    </row>
    <row r="46" spans="1:13" x14ac:dyDescent="0.35">
      <c r="A46" s="7" t="s">
        <v>145</v>
      </c>
      <c r="B46" s="7" t="s">
        <v>146</v>
      </c>
      <c r="C46" s="8" t="s">
        <v>56</v>
      </c>
      <c r="D46" s="8" t="s">
        <v>68</v>
      </c>
      <c r="E46" s="8">
        <v>65.400000000000006</v>
      </c>
      <c r="F46" s="8">
        <v>5.8</v>
      </c>
      <c r="G46" s="8">
        <v>62</v>
      </c>
      <c r="H46" s="7">
        <f t="shared" si="0"/>
        <v>61.8</v>
      </c>
      <c r="I46" s="7" t="str">
        <f t="shared" si="1"/>
        <v>PASS</v>
      </c>
      <c r="J46" s="7" t="str">
        <f t="shared" si="2"/>
        <v>Medium Risk</v>
      </c>
      <c r="L46" s="7" t="str">
        <f>IF(J46="High Risk",COUNTIF($J$3:J46,"High Risk"),"")</f>
        <v/>
      </c>
      <c r="M46" s="7">
        <f>RANK(H46,$H$3:$H$1002,0)+COUNTIF($H$3:H46,H46)-1</f>
        <v>586</v>
      </c>
    </row>
    <row r="47" spans="1:13" x14ac:dyDescent="0.35">
      <c r="A47" s="7" t="s">
        <v>147</v>
      </c>
      <c r="B47" s="7" t="s">
        <v>148</v>
      </c>
      <c r="C47" s="8" t="s">
        <v>56</v>
      </c>
      <c r="D47" s="8" t="s">
        <v>57</v>
      </c>
      <c r="E47" s="8">
        <v>78.7</v>
      </c>
      <c r="F47" s="8">
        <v>6.7</v>
      </c>
      <c r="G47" s="8">
        <v>51</v>
      </c>
      <c r="H47" s="7">
        <f t="shared" si="0"/>
        <v>64.099999999999994</v>
      </c>
      <c r="I47" s="7" t="str">
        <f t="shared" si="1"/>
        <v>PASS</v>
      </c>
      <c r="J47" s="7" t="str">
        <f t="shared" si="2"/>
        <v>Medium Risk</v>
      </c>
      <c r="L47" s="7" t="str">
        <f>IF(J47="High Risk",COUNTIF($J$3:J47,"High Risk"),"")</f>
        <v/>
      </c>
      <c r="M47" s="7">
        <f>RANK(H47,$H$3:$H$1002,0)+COUNTIF($H$3:H47,H47)-1</f>
        <v>545</v>
      </c>
    </row>
    <row r="48" spans="1:13" x14ac:dyDescent="0.35">
      <c r="A48" s="7" t="s">
        <v>149</v>
      </c>
      <c r="B48" s="7" t="s">
        <v>150</v>
      </c>
      <c r="C48" s="8" t="s">
        <v>62</v>
      </c>
      <c r="D48" s="8" t="s">
        <v>57</v>
      </c>
      <c r="E48" s="8">
        <v>95.3</v>
      </c>
      <c r="F48" s="8">
        <v>13.8</v>
      </c>
      <c r="G48" s="8">
        <v>90</v>
      </c>
      <c r="H48" s="7">
        <f t="shared" si="0"/>
        <v>94.6</v>
      </c>
      <c r="I48" s="7" t="str">
        <f t="shared" si="1"/>
        <v>PASS</v>
      </c>
      <c r="J48" s="7" t="str">
        <f t="shared" si="2"/>
        <v>Low Risk</v>
      </c>
      <c r="L48" s="7" t="str">
        <f>IF(J48="High Risk",COUNTIF($J$3:J48,"High Risk"),"")</f>
        <v/>
      </c>
      <c r="M48" s="7">
        <f>RANK(H48,$H$3:$H$1002,0)+COUNTIF($H$3:H48,H48)-1</f>
        <v>61</v>
      </c>
    </row>
    <row r="49" spans="1:13" x14ac:dyDescent="0.35">
      <c r="A49" s="7" t="s">
        <v>151</v>
      </c>
      <c r="B49" s="7" t="s">
        <v>152</v>
      </c>
      <c r="C49" s="8" t="s">
        <v>62</v>
      </c>
      <c r="D49" s="8" t="s">
        <v>63</v>
      </c>
      <c r="E49" s="8">
        <v>74</v>
      </c>
      <c r="F49" s="8">
        <v>4.3</v>
      </c>
      <c r="G49" s="8">
        <v>35</v>
      </c>
      <c r="H49" s="7">
        <f t="shared" si="0"/>
        <v>49.1</v>
      </c>
      <c r="I49" s="7" t="str">
        <f t="shared" si="1"/>
        <v>FAIL</v>
      </c>
      <c r="J49" s="7" t="str">
        <f t="shared" si="2"/>
        <v>High Risk</v>
      </c>
      <c r="L49" s="7">
        <f>IF(J49="High Risk",COUNTIF($J$3:J49,"High Risk"),"")</f>
        <v>7</v>
      </c>
      <c r="M49" s="7">
        <f>RANK(H49,$H$3:$H$1002,0)+COUNTIF($H$3:H49,H49)-1</f>
        <v>811</v>
      </c>
    </row>
    <row r="50" spans="1:13" x14ac:dyDescent="0.35">
      <c r="A50" s="7" t="s">
        <v>153</v>
      </c>
      <c r="B50" s="7" t="s">
        <v>154</v>
      </c>
      <c r="C50" s="8" t="s">
        <v>56</v>
      </c>
      <c r="D50" s="8" t="s">
        <v>68</v>
      </c>
      <c r="E50" s="8">
        <v>100</v>
      </c>
      <c r="F50" s="8">
        <v>10.8</v>
      </c>
      <c r="G50" s="8">
        <v>85</v>
      </c>
      <c r="H50" s="7">
        <f t="shared" si="0"/>
        <v>94</v>
      </c>
      <c r="I50" s="7" t="str">
        <f t="shared" si="1"/>
        <v>PASS</v>
      </c>
      <c r="J50" s="7" t="str">
        <f t="shared" si="2"/>
        <v>Low Risk</v>
      </c>
      <c r="L50" s="7" t="str">
        <f>IF(J50="High Risk",COUNTIF($J$3:J50,"High Risk"),"")</f>
        <v/>
      </c>
      <c r="M50" s="7">
        <f>RANK(H50,$H$3:$H$1002,0)+COUNTIF($H$3:H50,H50)-1</f>
        <v>64</v>
      </c>
    </row>
    <row r="51" spans="1:13" x14ac:dyDescent="0.35">
      <c r="A51" s="7" t="s">
        <v>155</v>
      </c>
      <c r="B51" s="7" t="s">
        <v>156</v>
      </c>
      <c r="C51" s="8" t="s">
        <v>62</v>
      </c>
      <c r="D51" s="8" t="s">
        <v>68</v>
      </c>
      <c r="E51" s="8">
        <v>78.2</v>
      </c>
      <c r="F51" s="8">
        <v>6.3</v>
      </c>
      <c r="G51" s="8">
        <v>66</v>
      </c>
      <c r="H51" s="7">
        <f t="shared" si="0"/>
        <v>68.8</v>
      </c>
      <c r="I51" s="7" t="str">
        <f t="shared" si="1"/>
        <v>PASS</v>
      </c>
      <c r="J51" s="7" t="str">
        <f t="shared" si="2"/>
        <v>Low Risk</v>
      </c>
      <c r="L51" s="7" t="str">
        <f>IF(J51="High Risk",COUNTIF($J$3:J51,"High Risk"),"")</f>
        <v/>
      </c>
      <c r="M51" s="7">
        <f>RANK(H51,$H$3:$H$1002,0)+COUNTIF($H$3:H51,H51)-1</f>
        <v>456</v>
      </c>
    </row>
    <row r="52" spans="1:13" x14ac:dyDescent="0.35">
      <c r="A52" s="7" t="s">
        <v>157</v>
      </c>
      <c r="B52" s="7" t="s">
        <v>158</v>
      </c>
      <c r="C52" s="8" t="s">
        <v>62</v>
      </c>
      <c r="D52" s="8" t="s">
        <v>68</v>
      </c>
      <c r="E52" s="8">
        <v>82.4</v>
      </c>
      <c r="F52" s="8">
        <v>1.3</v>
      </c>
      <c r="G52" s="8">
        <v>73</v>
      </c>
      <c r="H52" s="7">
        <f t="shared" si="0"/>
        <v>57.8</v>
      </c>
      <c r="I52" s="7" t="str">
        <f t="shared" si="1"/>
        <v>PASS</v>
      </c>
      <c r="J52" s="7" t="str">
        <f t="shared" si="2"/>
        <v>Medium Risk</v>
      </c>
      <c r="L52" s="7" t="str">
        <f>IF(J52="High Risk",COUNTIF($J$3:J52,"High Risk"),"")</f>
        <v/>
      </c>
      <c r="M52" s="7">
        <f>RANK(H52,$H$3:$H$1002,0)+COUNTIF($H$3:H52,H52)-1</f>
        <v>664</v>
      </c>
    </row>
    <row r="53" spans="1:13" x14ac:dyDescent="0.35">
      <c r="A53" s="7" t="s">
        <v>159</v>
      </c>
      <c r="B53" s="7" t="s">
        <v>160</v>
      </c>
      <c r="C53" s="8" t="s">
        <v>62</v>
      </c>
      <c r="D53" s="8" t="s">
        <v>68</v>
      </c>
      <c r="E53" s="8">
        <v>84.1</v>
      </c>
      <c r="F53" s="8">
        <v>6.3</v>
      </c>
      <c r="G53" s="8">
        <v>63</v>
      </c>
      <c r="H53" s="7">
        <f t="shared" si="0"/>
        <v>69.3</v>
      </c>
      <c r="I53" s="7" t="str">
        <f t="shared" si="1"/>
        <v>PASS</v>
      </c>
      <c r="J53" s="7" t="str">
        <f t="shared" si="2"/>
        <v>Low Risk</v>
      </c>
      <c r="L53" s="7" t="str">
        <f>IF(J53="High Risk",COUNTIF($J$3:J53,"High Risk"),"")</f>
        <v/>
      </c>
      <c r="M53" s="7">
        <f>RANK(H53,$H$3:$H$1002,0)+COUNTIF($H$3:H53,H53)-1</f>
        <v>446</v>
      </c>
    </row>
    <row r="54" spans="1:13" x14ac:dyDescent="0.35">
      <c r="A54" s="7" t="s">
        <v>161</v>
      </c>
      <c r="B54" s="7" t="s">
        <v>162</v>
      </c>
      <c r="C54" s="8" t="s">
        <v>62</v>
      </c>
      <c r="D54" s="8" t="s">
        <v>68</v>
      </c>
      <c r="E54" s="8">
        <v>44.2</v>
      </c>
      <c r="F54" s="8">
        <v>2.2000000000000002</v>
      </c>
      <c r="G54" s="8">
        <v>35</v>
      </c>
      <c r="H54" s="7">
        <f t="shared" si="0"/>
        <v>33.9</v>
      </c>
      <c r="I54" s="7" t="str">
        <f t="shared" si="1"/>
        <v>FAIL</v>
      </c>
      <c r="J54" s="7" t="str">
        <f t="shared" si="2"/>
        <v>High Risk</v>
      </c>
      <c r="L54" s="7">
        <f>IF(J54="High Risk",COUNTIF($J$3:J54,"High Risk"),"")</f>
        <v>8</v>
      </c>
      <c r="M54" s="7">
        <f>RANK(H54,$H$3:$H$1002,0)+COUNTIF($H$3:H54,H54)-1</f>
        <v>948</v>
      </c>
    </row>
    <row r="55" spans="1:13" x14ac:dyDescent="0.35">
      <c r="A55" s="7" t="s">
        <v>163</v>
      </c>
      <c r="B55" s="7" t="s">
        <v>164</v>
      </c>
      <c r="C55" s="8" t="s">
        <v>56</v>
      </c>
      <c r="D55" s="8" t="s">
        <v>63</v>
      </c>
      <c r="E55" s="8">
        <v>100</v>
      </c>
      <c r="F55" s="8">
        <v>8.9</v>
      </c>
      <c r="G55" s="8">
        <v>97</v>
      </c>
      <c r="H55" s="7">
        <f t="shared" si="0"/>
        <v>95.5</v>
      </c>
      <c r="I55" s="7" t="str">
        <f t="shared" si="1"/>
        <v>PASS</v>
      </c>
      <c r="J55" s="7" t="str">
        <f t="shared" si="2"/>
        <v>Low Risk</v>
      </c>
      <c r="L55" s="7" t="str">
        <f>IF(J55="High Risk",COUNTIF($J$3:J55,"High Risk"),"")</f>
        <v/>
      </c>
      <c r="M55" s="7">
        <f>RANK(H55,$H$3:$H$1002,0)+COUNTIF($H$3:H55,H55)-1</f>
        <v>53</v>
      </c>
    </row>
    <row r="56" spans="1:13" x14ac:dyDescent="0.35">
      <c r="A56" s="7" t="s">
        <v>165</v>
      </c>
      <c r="B56" s="7" t="s">
        <v>166</v>
      </c>
      <c r="C56" s="8" t="s">
        <v>56</v>
      </c>
      <c r="D56" s="8" t="s">
        <v>57</v>
      </c>
      <c r="E56" s="8">
        <v>62</v>
      </c>
      <c r="F56" s="8">
        <v>3.5</v>
      </c>
      <c r="G56" s="8">
        <v>71</v>
      </c>
      <c r="H56" s="7">
        <f t="shared" si="0"/>
        <v>57.5</v>
      </c>
      <c r="I56" s="7" t="str">
        <f t="shared" si="1"/>
        <v>PASS</v>
      </c>
      <c r="J56" s="7" t="str">
        <f t="shared" si="2"/>
        <v>Medium Risk</v>
      </c>
      <c r="L56" s="7" t="str">
        <f>IF(J56="High Risk",COUNTIF($J$3:J56,"High Risk"),"")</f>
        <v/>
      </c>
      <c r="M56" s="7">
        <f>RANK(H56,$H$3:$H$1002,0)+COUNTIF($H$3:H56,H56)-1</f>
        <v>672</v>
      </c>
    </row>
    <row r="57" spans="1:13" x14ac:dyDescent="0.35">
      <c r="A57" s="7" t="s">
        <v>167</v>
      </c>
      <c r="B57" s="7" t="s">
        <v>168</v>
      </c>
      <c r="C57" s="8" t="s">
        <v>62</v>
      </c>
      <c r="D57" s="8" t="s">
        <v>63</v>
      </c>
      <c r="E57" s="8">
        <v>75.3</v>
      </c>
      <c r="F57" s="8">
        <v>3.1</v>
      </c>
      <c r="G57" s="8">
        <v>53</v>
      </c>
      <c r="H57" s="7">
        <f t="shared" si="0"/>
        <v>53.1</v>
      </c>
      <c r="I57" s="7" t="str">
        <f t="shared" si="1"/>
        <v>PASS</v>
      </c>
      <c r="J57" s="7" t="str">
        <f t="shared" si="2"/>
        <v>Medium Risk</v>
      </c>
      <c r="L57" s="7" t="str">
        <f>IF(J57="High Risk",COUNTIF($J$3:J57,"High Risk"),"")</f>
        <v/>
      </c>
      <c r="M57" s="7">
        <f>RANK(H57,$H$3:$H$1002,0)+COUNTIF($H$3:H57,H57)-1</f>
        <v>749</v>
      </c>
    </row>
    <row r="58" spans="1:13" x14ac:dyDescent="0.35">
      <c r="A58" s="7" t="s">
        <v>169</v>
      </c>
      <c r="B58" s="7" t="s">
        <v>170</v>
      </c>
      <c r="C58" s="8" t="s">
        <v>62</v>
      </c>
      <c r="D58" s="8" t="s">
        <v>68</v>
      </c>
      <c r="E58" s="8">
        <v>61</v>
      </c>
      <c r="F58" s="8">
        <v>4.4000000000000004</v>
      </c>
      <c r="G58" s="8">
        <v>55</v>
      </c>
      <c r="H58" s="7">
        <f t="shared" si="0"/>
        <v>53.5</v>
      </c>
      <c r="I58" s="7" t="str">
        <f t="shared" si="1"/>
        <v>PASS</v>
      </c>
      <c r="J58" s="7" t="str">
        <f t="shared" si="2"/>
        <v>Medium Risk</v>
      </c>
      <c r="L58" s="7" t="str">
        <f>IF(J58="High Risk",COUNTIF($J$3:J58,"High Risk"),"")</f>
        <v/>
      </c>
      <c r="M58" s="7">
        <f>RANK(H58,$H$3:$H$1002,0)+COUNTIF($H$3:H58,H58)-1</f>
        <v>745</v>
      </c>
    </row>
    <row r="59" spans="1:13" x14ac:dyDescent="0.35">
      <c r="A59" s="7" t="s">
        <v>171</v>
      </c>
      <c r="B59" s="7" t="s">
        <v>172</v>
      </c>
      <c r="C59" s="8" t="s">
        <v>62</v>
      </c>
      <c r="D59" s="8" t="s">
        <v>68</v>
      </c>
      <c r="E59" s="8">
        <v>60.2</v>
      </c>
      <c r="F59" s="8">
        <v>1.7</v>
      </c>
      <c r="G59" s="8">
        <v>58</v>
      </c>
      <c r="H59" s="7">
        <f t="shared" si="0"/>
        <v>46.4</v>
      </c>
      <c r="I59" s="7" t="str">
        <f t="shared" si="1"/>
        <v>FAIL</v>
      </c>
      <c r="J59" s="7" t="str">
        <f t="shared" si="2"/>
        <v>High Risk</v>
      </c>
      <c r="L59" s="7">
        <f>IF(J59="High Risk",COUNTIF($J$3:J59,"High Risk"),"")</f>
        <v>9</v>
      </c>
      <c r="M59" s="7">
        <f>RANK(H59,$H$3:$H$1002,0)+COUNTIF($H$3:H59,H59)-1</f>
        <v>844</v>
      </c>
    </row>
    <row r="60" spans="1:13" x14ac:dyDescent="0.35">
      <c r="A60" s="7" t="s">
        <v>173</v>
      </c>
      <c r="B60" s="7" t="s">
        <v>174</v>
      </c>
      <c r="C60" s="8" t="s">
        <v>62</v>
      </c>
      <c r="D60" s="8" t="s">
        <v>68</v>
      </c>
      <c r="E60" s="8">
        <v>61.4</v>
      </c>
      <c r="F60" s="8">
        <v>5.0999999999999996</v>
      </c>
      <c r="G60" s="8">
        <v>73</v>
      </c>
      <c r="H60" s="7">
        <f t="shared" si="0"/>
        <v>62.9</v>
      </c>
      <c r="I60" s="7" t="str">
        <f t="shared" si="1"/>
        <v>PASS</v>
      </c>
      <c r="J60" s="7" t="str">
        <f t="shared" si="2"/>
        <v>Medium Risk</v>
      </c>
      <c r="L60" s="7" t="str">
        <f>IF(J60="High Risk",COUNTIF($J$3:J60,"High Risk"),"")</f>
        <v/>
      </c>
      <c r="M60" s="7">
        <f>RANK(H60,$H$3:$H$1002,0)+COUNTIF($H$3:H60,H60)-1</f>
        <v>562</v>
      </c>
    </row>
    <row r="61" spans="1:13" x14ac:dyDescent="0.35">
      <c r="A61" s="7" t="s">
        <v>175</v>
      </c>
      <c r="B61" s="7" t="s">
        <v>176</v>
      </c>
      <c r="C61" s="8" t="s">
        <v>62</v>
      </c>
      <c r="D61" s="8" t="s">
        <v>68</v>
      </c>
      <c r="E61" s="8">
        <v>83.1</v>
      </c>
      <c r="F61" s="8">
        <v>6.6</v>
      </c>
      <c r="G61" s="8">
        <v>63</v>
      </c>
      <c r="H61" s="7">
        <f t="shared" si="0"/>
        <v>69.900000000000006</v>
      </c>
      <c r="I61" s="7" t="str">
        <f t="shared" si="1"/>
        <v>PASS</v>
      </c>
      <c r="J61" s="7" t="str">
        <f t="shared" si="2"/>
        <v>Low Risk</v>
      </c>
      <c r="L61" s="7" t="str">
        <f>IF(J61="High Risk",COUNTIF($J$3:J61,"High Risk"),"")</f>
        <v/>
      </c>
      <c r="M61" s="7">
        <f>RANK(H61,$H$3:$H$1002,0)+COUNTIF($H$3:H61,H61)-1</f>
        <v>432</v>
      </c>
    </row>
    <row r="62" spans="1:13" x14ac:dyDescent="0.35">
      <c r="A62" s="7" t="s">
        <v>177</v>
      </c>
      <c r="B62" s="7" t="s">
        <v>178</v>
      </c>
      <c r="C62" s="8" t="s">
        <v>56</v>
      </c>
      <c r="D62" s="8" t="s">
        <v>63</v>
      </c>
      <c r="E62" s="8">
        <v>68.2</v>
      </c>
      <c r="F62" s="8">
        <v>8.1</v>
      </c>
      <c r="G62" s="8">
        <v>61</v>
      </c>
      <c r="H62" s="7">
        <f t="shared" si="0"/>
        <v>69.2</v>
      </c>
      <c r="I62" s="7" t="str">
        <f t="shared" si="1"/>
        <v>PASS</v>
      </c>
      <c r="J62" s="7" t="str">
        <f t="shared" si="2"/>
        <v>Low Risk</v>
      </c>
      <c r="L62" s="7" t="str">
        <f>IF(J62="High Risk",COUNTIF($J$3:J62,"High Risk"),"")</f>
        <v/>
      </c>
      <c r="M62" s="7">
        <f>RANK(H62,$H$3:$H$1002,0)+COUNTIF($H$3:H62,H62)-1</f>
        <v>448</v>
      </c>
    </row>
    <row r="63" spans="1:13" x14ac:dyDescent="0.35">
      <c r="A63" s="7" t="s">
        <v>179</v>
      </c>
      <c r="B63" s="7" t="s">
        <v>180</v>
      </c>
      <c r="C63" s="8" t="s">
        <v>62</v>
      </c>
      <c r="D63" s="8" t="s">
        <v>57</v>
      </c>
      <c r="E63" s="8">
        <v>73.400000000000006</v>
      </c>
      <c r="F63" s="8">
        <v>5.9</v>
      </c>
      <c r="G63" s="8">
        <v>52</v>
      </c>
      <c r="H63" s="7">
        <f t="shared" si="0"/>
        <v>60.5</v>
      </c>
      <c r="I63" s="7" t="str">
        <f t="shared" si="1"/>
        <v>PASS</v>
      </c>
      <c r="J63" s="7" t="str">
        <f t="shared" si="2"/>
        <v>Medium Risk</v>
      </c>
      <c r="L63" s="7" t="str">
        <f>IF(J63="High Risk",COUNTIF($J$3:J63,"High Risk"),"")</f>
        <v/>
      </c>
      <c r="M63" s="7">
        <f>RANK(H63,$H$3:$H$1002,0)+COUNTIF($H$3:H63,H63)-1</f>
        <v>610</v>
      </c>
    </row>
    <row r="64" spans="1:13" x14ac:dyDescent="0.35">
      <c r="A64" s="7" t="s">
        <v>181</v>
      </c>
      <c r="B64" s="7" t="s">
        <v>182</v>
      </c>
      <c r="C64" s="8" t="s">
        <v>56</v>
      </c>
      <c r="D64" s="8" t="s">
        <v>57</v>
      </c>
      <c r="E64" s="8">
        <v>71.099999999999994</v>
      </c>
      <c r="F64" s="8">
        <v>5</v>
      </c>
      <c r="G64" s="8">
        <v>75</v>
      </c>
      <c r="H64" s="7">
        <f t="shared" si="0"/>
        <v>66.3</v>
      </c>
      <c r="I64" s="7" t="str">
        <f t="shared" si="1"/>
        <v>PASS</v>
      </c>
      <c r="J64" s="7" t="str">
        <f t="shared" si="2"/>
        <v>Low Risk</v>
      </c>
      <c r="L64" s="7" t="str">
        <f>IF(J64="High Risk",COUNTIF($J$3:J64,"High Risk"),"")</f>
        <v/>
      </c>
      <c r="M64" s="7">
        <f>RANK(H64,$H$3:$H$1002,0)+COUNTIF($H$3:H64,H64)-1</f>
        <v>504</v>
      </c>
    </row>
    <row r="65" spans="1:13" x14ac:dyDescent="0.35">
      <c r="A65" s="7" t="s">
        <v>183</v>
      </c>
      <c r="B65" s="7" t="s">
        <v>184</v>
      </c>
      <c r="C65" s="8" t="s">
        <v>56</v>
      </c>
      <c r="D65" s="8" t="s">
        <v>68</v>
      </c>
      <c r="E65" s="8">
        <v>32.299999999999997</v>
      </c>
      <c r="F65" s="8">
        <v>0</v>
      </c>
      <c r="G65" s="8">
        <v>33</v>
      </c>
      <c r="H65" s="7">
        <f t="shared" si="0"/>
        <v>22.9</v>
      </c>
      <c r="I65" s="7" t="str">
        <f t="shared" si="1"/>
        <v>FAIL</v>
      </c>
      <c r="J65" s="7" t="str">
        <f t="shared" si="2"/>
        <v>High Risk</v>
      </c>
      <c r="L65" s="7">
        <f>IF(J65="High Risk",COUNTIF($J$3:J65,"High Risk"),"")</f>
        <v>10</v>
      </c>
      <c r="M65" s="7">
        <f>RANK(H65,$H$3:$H$1002,0)+COUNTIF($H$3:H65,H65)-1</f>
        <v>990</v>
      </c>
    </row>
    <row r="66" spans="1:13" x14ac:dyDescent="0.35">
      <c r="A66" s="7" t="s">
        <v>185</v>
      </c>
      <c r="B66" s="7" t="s">
        <v>186</v>
      </c>
      <c r="C66" s="8" t="s">
        <v>62</v>
      </c>
      <c r="D66" s="8" t="s">
        <v>63</v>
      </c>
      <c r="E66" s="8">
        <v>46.3</v>
      </c>
      <c r="F66" s="8">
        <v>0</v>
      </c>
      <c r="G66" s="8">
        <v>32</v>
      </c>
      <c r="H66" s="7">
        <f t="shared" si="0"/>
        <v>26.7</v>
      </c>
      <c r="I66" s="7" t="str">
        <f t="shared" si="1"/>
        <v>FAIL</v>
      </c>
      <c r="J66" s="7" t="str">
        <f t="shared" si="2"/>
        <v>High Risk</v>
      </c>
      <c r="L66" s="7">
        <f>IF(J66="High Risk",COUNTIF($J$3:J66,"High Risk"),"")</f>
        <v>11</v>
      </c>
      <c r="M66" s="7">
        <f>RANK(H66,$H$3:$H$1002,0)+COUNTIF($H$3:H66,H66)-1</f>
        <v>979</v>
      </c>
    </row>
    <row r="67" spans="1:13" x14ac:dyDescent="0.35">
      <c r="A67" s="7" t="s">
        <v>187</v>
      </c>
      <c r="B67" s="7" t="s">
        <v>188</v>
      </c>
      <c r="C67" s="8" t="s">
        <v>62</v>
      </c>
      <c r="D67" s="8" t="s">
        <v>63</v>
      </c>
      <c r="E67" s="8">
        <v>76</v>
      </c>
      <c r="F67" s="8">
        <v>7.4</v>
      </c>
      <c r="G67" s="8">
        <v>64</v>
      </c>
      <c r="H67" s="7">
        <f t="shared" ref="H67:H130" si="3">ROUND(0.4*G67+0.3*E67+0.3*MIN(F67/10,1)*100,1)</f>
        <v>70.599999999999994</v>
      </c>
      <c r="I67" s="7" t="str">
        <f t="shared" ref="I67:I130" si="4">IF(H67&gt;=50,"PASS","FAIL")</f>
        <v>PASS</v>
      </c>
      <c r="J67" s="7" t="str">
        <f t="shared" ref="J67:J130" si="5">IF(H67&lt;50,"High Risk",IF(H67&lt;65,"Medium Risk","Low Risk"))</f>
        <v>Low Risk</v>
      </c>
      <c r="L67" s="7" t="str">
        <f>IF(J67="High Risk",COUNTIF($J$3:J67,"High Risk"),"")</f>
        <v/>
      </c>
      <c r="M67" s="7">
        <f>RANK(H67,$H$3:$H$1002,0)+COUNTIF($H$3:H67,H67)-1</f>
        <v>417</v>
      </c>
    </row>
    <row r="68" spans="1:13" x14ac:dyDescent="0.35">
      <c r="A68" s="7" t="s">
        <v>189</v>
      </c>
      <c r="B68" s="7" t="s">
        <v>190</v>
      </c>
      <c r="C68" s="8" t="s">
        <v>56</v>
      </c>
      <c r="D68" s="8" t="s">
        <v>57</v>
      </c>
      <c r="E68" s="8">
        <v>78.599999999999994</v>
      </c>
      <c r="F68" s="8">
        <v>4.5999999999999996</v>
      </c>
      <c r="G68" s="8">
        <v>70</v>
      </c>
      <c r="H68" s="7">
        <f t="shared" si="3"/>
        <v>65.400000000000006</v>
      </c>
      <c r="I68" s="7" t="str">
        <f t="shared" si="4"/>
        <v>PASS</v>
      </c>
      <c r="J68" s="7" t="str">
        <f t="shared" si="5"/>
        <v>Low Risk</v>
      </c>
      <c r="L68" s="7" t="str">
        <f>IF(J68="High Risk",COUNTIF($J$3:J68,"High Risk"),"")</f>
        <v/>
      </c>
      <c r="M68" s="7">
        <f>RANK(H68,$H$3:$H$1002,0)+COUNTIF($H$3:H68,H68)-1</f>
        <v>524</v>
      </c>
    </row>
    <row r="69" spans="1:13" x14ac:dyDescent="0.35">
      <c r="A69" s="7" t="s">
        <v>191</v>
      </c>
      <c r="B69" s="7" t="s">
        <v>192</v>
      </c>
      <c r="C69" s="8" t="s">
        <v>56</v>
      </c>
      <c r="D69" s="8" t="s">
        <v>75</v>
      </c>
      <c r="E69" s="8">
        <v>85.5</v>
      </c>
      <c r="F69" s="8">
        <v>5.6</v>
      </c>
      <c r="G69" s="8">
        <v>74</v>
      </c>
      <c r="H69" s="7">
        <f t="shared" si="3"/>
        <v>72.099999999999994</v>
      </c>
      <c r="I69" s="7" t="str">
        <f t="shared" si="4"/>
        <v>PASS</v>
      </c>
      <c r="J69" s="7" t="str">
        <f t="shared" si="5"/>
        <v>Low Risk</v>
      </c>
      <c r="L69" s="7" t="str">
        <f>IF(J69="High Risk",COUNTIF($J$3:J69,"High Risk"),"")</f>
        <v/>
      </c>
      <c r="M69" s="7">
        <f>RANK(H69,$H$3:$H$1002,0)+COUNTIF($H$3:H69,H69)-1</f>
        <v>380</v>
      </c>
    </row>
    <row r="70" spans="1:13" x14ac:dyDescent="0.35">
      <c r="A70" s="7" t="s">
        <v>193</v>
      </c>
      <c r="B70" s="7" t="s">
        <v>194</v>
      </c>
      <c r="C70" s="8" t="s">
        <v>62</v>
      </c>
      <c r="D70" s="8" t="s">
        <v>57</v>
      </c>
      <c r="E70" s="8">
        <v>54.8</v>
      </c>
      <c r="F70" s="8">
        <v>0</v>
      </c>
      <c r="G70" s="8">
        <v>31</v>
      </c>
      <c r="H70" s="7">
        <f t="shared" si="3"/>
        <v>28.8</v>
      </c>
      <c r="I70" s="7" t="str">
        <f t="shared" si="4"/>
        <v>FAIL</v>
      </c>
      <c r="J70" s="7" t="str">
        <f t="shared" si="5"/>
        <v>High Risk</v>
      </c>
      <c r="L70" s="7">
        <f>IF(J70="High Risk",COUNTIF($J$3:J70,"High Risk"),"")</f>
        <v>12</v>
      </c>
      <c r="M70" s="7">
        <f>RANK(H70,$H$3:$H$1002,0)+COUNTIF($H$3:H70,H70)-1</f>
        <v>970</v>
      </c>
    </row>
    <row r="71" spans="1:13" x14ac:dyDescent="0.35">
      <c r="A71" s="7" t="s">
        <v>195</v>
      </c>
      <c r="B71" s="7" t="s">
        <v>196</v>
      </c>
      <c r="C71" s="8" t="s">
        <v>62</v>
      </c>
      <c r="D71" s="8" t="s">
        <v>68</v>
      </c>
      <c r="E71" s="8">
        <v>78.099999999999994</v>
      </c>
      <c r="F71" s="8">
        <v>7.9</v>
      </c>
      <c r="G71" s="8">
        <v>52</v>
      </c>
      <c r="H71" s="7">
        <f t="shared" si="3"/>
        <v>67.900000000000006</v>
      </c>
      <c r="I71" s="7" t="str">
        <f t="shared" si="4"/>
        <v>PASS</v>
      </c>
      <c r="J71" s="7" t="str">
        <f t="shared" si="5"/>
        <v>Low Risk</v>
      </c>
      <c r="L71" s="7" t="str">
        <f>IF(J71="High Risk",COUNTIF($J$3:J71,"High Risk"),"")</f>
        <v/>
      </c>
      <c r="M71" s="7">
        <f>RANK(H71,$H$3:$H$1002,0)+COUNTIF($H$3:H71,H71)-1</f>
        <v>475</v>
      </c>
    </row>
    <row r="72" spans="1:13" x14ac:dyDescent="0.35">
      <c r="A72" s="7" t="s">
        <v>197</v>
      </c>
      <c r="B72" s="7" t="s">
        <v>198</v>
      </c>
      <c r="C72" s="8" t="s">
        <v>56</v>
      </c>
      <c r="D72" s="8" t="s">
        <v>57</v>
      </c>
      <c r="E72" s="8">
        <v>60.9</v>
      </c>
      <c r="F72" s="8">
        <v>2</v>
      </c>
      <c r="G72" s="8">
        <v>39</v>
      </c>
      <c r="H72" s="7">
        <f t="shared" si="3"/>
        <v>39.9</v>
      </c>
      <c r="I72" s="7" t="str">
        <f t="shared" si="4"/>
        <v>FAIL</v>
      </c>
      <c r="J72" s="7" t="str">
        <f t="shared" si="5"/>
        <v>High Risk</v>
      </c>
      <c r="L72" s="7">
        <f>IF(J72="High Risk",COUNTIF($J$3:J72,"High Risk"),"")</f>
        <v>13</v>
      </c>
      <c r="M72" s="7">
        <f>RANK(H72,$H$3:$H$1002,0)+COUNTIF($H$3:H72,H72)-1</f>
        <v>905</v>
      </c>
    </row>
    <row r="73" spans="1:13" x14ac:dyDescent="0.35">
      <c r="A73" s="7" t="s">
        <v>199</v>
      </c>
      <c r="B73" s="7" t="s">
        <v>200</v>
      </c>
      <c r="C73" s="8" t="s">
        <v>56</v>
      </c>
      <c r="D73" s="8" t="s">
        <v>68</v>
      </c>
      <c r="E73" s="8">
        <v>92.2</v>
      </c>
      <c r="F73" s="8">
        <v>11.1</v>
      </c>
      <c r="G73" s="8">
        <v>78</v>
      </c>
      <c r="H73" s="7">
        <f t="shared" si="3"/>
        <v>88.9</v>
      </c>
      <c r="I73" s="7" t="str">
        <f t="shared" si="4"/>
        <v>PASS</v>
      </c>
      <c r="J73" s="7" t="str">
        <f t="shared" si="5"/>
        <v>Low Risk</v>
      </c>
      <c r="L73" s="7" t="str">
        <f>IF(J73="High Risk",COUNTIF($J$3:J73,"High Risk"),"")</f>
        <v/>
      </c>
      <c r="M73" s="7">
        <f>RANK(H73,$H$3:$H$1002,0)+COUNTIF($H$3:H73,H73)-1</f>
        <v>117</v>
      </c>
    </row>
    <row r="74" spans="1:13" x14ac:dyDescent="0.35">
      <c r="A74" s="7" t="s">
        <v>201</v>
      </c>
      <c r="B74" s="7" t="s">
        <v>202</v>
      </c>
      <c r="C74" s="8" t="s">
        <v>56</v>
      </c>
      <c r="D74" s="8" t="s">
        <v>75</v>
      </c>
      <c r="E74" s="8">
        <v>77.599999999999994</v>
      </c>
      <c r="F74" s="8">
        <v>7</v>
      </c>
      <c r="G74" s="8">
        <v>78</v>
      </c>
      <c r="H74" s="7">
        <f t="shared" si="3"/>
        <v>75.5</v>
      </c>
      <c r="I74" s="7" t="str">
        <f t="shared" si="4"/>
        <v>PASS</v>
      </c>
      <c r="J74" s="7" t="str">
        <f t="shared" si="5"/>
        <v>Low Risk</v>
      </c>
      <c r="L74" s="7" t="str">
        <f>IF(J74="High Risk",COUNTIF($J$3:J74,"High Risk"),"")</f>
        <v/>
      </c>
      <c r="M74" s="7">
        <f>RANK(H74,$H$3:$H$1002,0)+COUNTIF($H$3:H74,H74)-1</f>
        <v>316</v>
      </c>
    </row>
    <row r="75" spans="1:13" x14ac:dyDescent="0.35">
      <c r="A75" s="7" t="s">
        <v>203</v>
      </c>
      <c r="B75" s="7" t="s">
        <v>204</v>
      </c>
      <c r="C75" s="8" t="s">
        <v>62</v>
      </c>
      <c r="D75" s="8" t="s">
        <v>63</v>
      </c>
      <c r="E75" s="8">
        <v>66</v>
      </c>
      <c r="F75" s="8">
        <v>3.6</v>
      </c>
      <c r="G75" s="8">
        <v>42</v>
      </c>
      <c r="H75" s="7">
        <f t="shared" si="3"/>
        <v>47.4</v>
      </c>
      <c r="I75" s="7" t="str">
        <f t="shared" si="4"/>
        <v>FAIL</v>
      </c>
      <c r="J75" s="7" t="str">
        <f t="shared" si="5"/>
        <v>High Risk</v>
      </c>
      <c r="L75" s="7">
        <f>IF(J75="High Risk",COUNTIF($J$3:J75,"High Risk"),"")</f>
        <v>14</v>
      </c>
      <c r="M75" s="7">
        <f>RANK(H75,$H$3:$H$1002,0)+COUNTIF($H$3:H75,H75)-1</f>
        <v>830</v>
      </c>
    </row>
    <row r="76" spans="1:13" x14ac:dyDescent="0.35">
      <c r="A76" s="7" t="s">
        <v>205</v>
      </c>
      <c r="B76" s="7" t="s">
        <v>206</v>
      </c>
      <c r="C76" s="8" t="s">
        <v>56</v>
      </c>
      <c r="D76" s="8" t="s">
        <v>63</v>
      </c>
      <c r="E76" s="8">
        <v>100</v>
      </c>
      <c r="F76" s="8">
        <v>11.9</v>
      </c>
      <c r="G76" s="8">
        <v>100</v>
      </c>
      <c r="H76" s="7">
        <f t="shared" si="3"/>
        <v>100</v>
      </c>
      <c r="I76" s="7" t="str">
        <f t="shared" si="4"/>
        <v>PASS</v>
      </c>
      <c r="J76" s="7" t="str">
        <f t="shared" si="5"/>
        <v>Low Risk</v>
      </c>
      <c r="L76" s="7" t="str">
        <f>IF(J76="High Risk",COUNTIF($J$3:J76,"High Risk"),"")</f>
        <v/>
      </c>
      <c r="M76" s="7">
        <f>RANK(H76,$H$3:$H$1002,0)+COUNTIF($H$3:H76,H76)-1</f>
        <v>1</v>
      </c>
    </row>
    <row r="77" spans="1:13" x14ac:dyDescent="0.35">
      <c r="A77" s="7" t="s">
        <v>207</v>
      </c>
      <c r="B77" s="7" t="s">
        <v>208</v>
      </c>
      <c r="C77" s="8" t="s">
        <v>56</v>
      </c>
      <c r="D77" s="8" t="s">
        <v>68</v>
      </c>
      <c r="E77" s="8">
        <v>77.5</v>
      </c>
      <c r="F77" s="8">
        <v>6.7</v>
      </c>
      <c r="G77" s="8">
        <v>69</v>
      </c>
      <c r="H77" s="7">
        <f t="shared" si="3"/>
        <v>71</v>
      </c>
      <c r="I77" s="7" t="str">
        <f t="shared" si="4"/>
        <v>PASS</v>
      </c>
      <c r="J77" s="7" t="str">
        <f t="shared" si="5"/>
        <v>Low Risk</v>
      </c>
      <c r="L77" s="7" t="str">
        <f>IF(J77="High Risk",COUNTIF($J$3:J77,"High Risk"),"")</f>
        <v/>
      </c>
      <c r="M77" s="7">
        <f>RANK(H77,$H$3:$H$1002,0)+COUNTIF($H$3:H77,H77)-1</f>
        <v>407</v>
      </c>
    </row>
    <row r="78" spans="1:13" x14ac:dyDescent="0.35">
      <c r="A78" s="7" t="s">
        <v>209</v>
      </c>
      <c r="B78" s="7" t="s">
        <v>210</v>
      </c>
      <c r="C78" s="8" t="s">
        <v>56</v>
      </c>
      <c r="D78" s="8" t="s">
        <v>75</v>
      </c>
      <c r="E78" s="8">
        <v>82.1</v>
      </c>
      <c r="F78" s="8">
        <v>2.2999999999999998</v>
      </c>
      <c r="G78" s="8">
        <v>53</v>
      </c>
      <c r="H78" s="7">
        <f t="shared" si="3"/>
        <v>52.7</v>
      </c>
      <c r="I78" s="7" t="str">
        <f t="shared" si="4"/>
        <v>PASS</v>
      </c>
      <c r="J78" s="7" t="str">
        <f t="shared" si="5"/>
        <v>Medium Risk</v>
      </c>
      <c r="L78" s="7" t="str">
        <f>IF(J78="High Risk",COUNTIF($J$3:J78,"High Risk"),"")</f>
        <v/>
      </c>
      <c r="M78" s="7">
        <f>RANK(H78,$H$3:$H$1002,0)+COUNTIF($H$3:H78,H78)-1</f>
        <v>756</v>
      </c>
    </row>
    <row r="79" spans="1:13" x14ac:dyDescent="0.35">
      <c r="A79" s="7" t="s">
        <v>211</v>
      </c>
      <c r="B79" s="7" t="s">
        <v>212</v>
      </c>
      <c r="C79" s="8" t="s">
        <v>56</v>
      </c>
      <c r="D79" s="8" t="s">
        <v>57</v>
      </c>
      <c r="E79" s="8">
        <v>77.400000000000006</v>
      </c>
      <c r="F79" s="8">
        <v>6.9</v>
      </c>
      <c r="G79" s="8">
        <v>54</v>
      </c>
      <c r="H79" s="7">
        <f t="shared" si="3"/>
        <v>65.5</v>
      </c>
      <c r="I79" s="7" t="str">
        <f t="shared" si="4"/>
        <v>PASS</v>
      </c>
      <c r="J79" s="7" t="str">
        <f t="shared" si="5"/>
        <v>Low Risk</v>
      </c>
      <c r="L79" s="7" t="str">
        <f>IF(J79="High Risk",COUNTIF($J$3:J79,"High Risk"),"")</f>
        <v/>
      </c>
      <c r="M79" s="7">
        <f>RANK(H79,$H$3:$H$1002,0)+COUNTIF($H$3:H79,H79)-1</f>
        <v>521</v>
      </c>
    </row>
    <row r="80" spans="1:13" x14ac:dyDescent="0.35">
      <c r="A80" s="7" t="s">
        <v>213</v>
      </c>
      <c r="B80" s="7" t="s">
        <v>214</v>
      </c>
      <c r="C80" s="8" t="s">
        <v>62</v>
      </c>
      <c r="D80" s="8" t="s">
        <v>57</v>
      </c>
      <c r="E80" s="8">
        <v>43.1</v>
      </c>
      <c r="F80" s="8">
        <v>2.2000000000000002</v>
      </c>
      <c r="G80" s="8">
        <v>52</v>
      </c>
      <c r="H80" s="7">
        <f t="shared" si="3"/>
        <v>40.299999999999997</v>
      </c>
      <c r="I80" s="7" t="str">
        <f t="shared" si="4"/>
        <v>FAIL</v>
      </c>
      <c r="J80" s="7" t="str">
        <f t="shared" si="5"/>
        <v>High Risk</v>
      </c>
      <c r="L80" s="7">
        <f>IF(J80="High Risk",COUNTIF($J$3:J80,"High Risk"),"")</f>
        <v>15</v>
      </c>
      <c r="M80" s="7">
        <f>RANK(H80,$H$3:$H$1002,0)+COUNTIF($H$3:H80,H80)-1</f>
        <v>902</v>
      </c>
    </row>
    <row r="81" spans="1:13" x14ac:dyDescent="0.35">
      <c r="A81" s="7" t="s">
        <v>215</v>
      </c>
      <c r="B81" s="7" t="s">
        <v>216</v>
      </c>
      <c r="C81" s="8" t="s">
        <v>62</v>
      </c>
      <c r="D81" s="8" t="s">
        <v>63</v>
      </c>
      <c r="E81" s="8">
        <v>100</v>
      </c>
      <c r="F81" s="8">
        <v>11.5</v>
      </c>
      <c r="G81" s="8">
        <v>90</v>
      </c>
      <c r="H81" s="7">
        <f t="shared" si="3"/>
        <v>96</v>
      </c>
      <c r="I81" s="7" t="str">
        <f t="shared" si="4"/>
        <v>PASS</v>
      </c>
      <c r="J81" s="7" t="str">
        <f t="shared" si="5"/>
        <v>Low Risk</v>
      </c>
      <c r="L81" s="7" t="str">
        <f>IF(J81="High Risk",COUNTIF($J$3:J81,"High Risk"),"")</f>
        <v/>
      </c>
      <c r="M81" s="7">
        <f>RANK(H81,$H$3:$H$1002,0)+COUNTIF($H$3:H81,H81)-1</f>
        <v>45</v>
      </c>
    </row>
    <row r="82" spans="1:13" x14ac:dyDescent="0.35">
      <c r="A82" s="7" t="s">
        <v>217</v>
      </c>
      <c r="B82" s="7" t="s">
        <v>218</v>
      </c>
      <c r="C82" s="8" t="s">
        <v>62</v>
      </c>
      <c r="D82" s="8" t="s">
        <v>57</v>
      </c>
      <c r="E82" s="8">
        <v>72.5</v>
      </c>
      <c r="F82" s="8">
        <v>3.9</v>
      </c>
      <c r="G82" s="8">
        <v>67</v>
      </c>
      <c r="H82" s="7">
        <f t="shared" si="3"/>
        <v>60.3</v>
      </c>
      <c r="I82" s="7" t="str">
        <f t="shared" si="4"/>
        <v>PASS</v>
      </c>
      <c r="J82" s="7" t="str">
        <f t="shared" si="5"/>
        <v>Medium Risk</v>
      </c>
      <c r="L82" s="7" t="str">
        <f>IF(J82="High Risk",COUNTIF($J$3:J82,"High Risk"),"")</f>
        <v/>
      </c>
      <c r="M82" s="7">
        <f>RANK(H82,$H$3:$H$1002,0)+COUNTIF($H$3:H82,H82)-1</f>
        <v>616</v>
      </c>
    </row>
    <row r="83" spans="1:13" x14ac:dyDescent="0.35">
      <c r="A83" s="7" t="s">
        <v>219</v>
      </c>
      <c r="B83" s="7" t="s">
        <v>220</v>
      </c>
      <c r="C83" s="8" t="s">
        <v>62</v>
      </c>
      <c r="D83" s="8" t="s">
        <v>68</v>
      </c>
      <c r="E83" s="8">
        <v>67.8</v>
      </c>
      <c r="F83" s="8">
        <v>5.6</v>
      </c>
      <c r="G83" s="8">
        <v>64</v>
      </c>
      <c r="H83" s="7">
        <f t="shared" si="3"/>
        <v>62.7</v>
      </c>
      <c r="I83" s="7" t="str">
        <f t="shared" si="4"/>
        <v>PASS</v>
      </c>
      <c r="J83" s="7" t="str">
        <f t="shared" si="5"/>
        <v>Medium Risk</v>
      </c>
      <c r="L83" s="7" t="str">
        <f>IF(J83="High Risk",COUNTIF($J$3:J83,"High Risk"),"")</f>
        <v/>
      </c>
      <c r="M83" s="7">
        <f>RANK(H83,$H$3:$H$1002,0)+COUNTIF($H$3:H83,H83)-1</f>
        <v>566</v>
      </c>
    </row>
    <row r="84" spans="1:13" x14ac:dyDescent="0.35">
      <c r="A84" s="7" t="s">
        <v>221</v>
      </c>
      <c r="B84" s="7" t="s">
        <v>136</v>
      </c>
      <c r="C84" s="8" t="s">
        <v>62</v>
      </c>
      <c r="D84" s="8" t="s">
        <v>68</v>
      </c>
      <c r="E84" s="8">
        <v>68.7</v>
      </c>
      <c r="F84" s="8">
        <v>7.5</v>
      </c>
      <c r="G84" s="8">
        <v>59</v>
      </c>
      <c r="H84" s="7">
        <f t="shared" si="3"/>
        <v>66.7</v>
      </c>
      <c r="I84" s="7" t="str">
        <f t="shared" si="4"/>
        <v>PASS</v>
      </c>
      <c r="J84" s="7" t="str">
        <f t="shared" si="5"/>
        <v>Low Risk</v>
      </c>
      <c r="L84" s="7" t="str">
        <f>IF(J84="High Risk",COUNTIF($J$3:J84,"High Risk"),"")</f>
        <v/>
      </c>
      <c r="M84" s="7">
        <f>RANK(H84,$H$3:$H$1002,0)+COUNTIF($H$3:H84,H84)-1</f>
        <v>499</v>
      </c>
    </row>
    <row r="85" spans="1:13" x14ac:dyDescent="0.35">
      <c r="A85" s="7" t="s">
        <v>222</v>
      </c>
      <c r="B85" s="7" t="s">
        <v>223</v>
      </c>
      <c r="C85" s="8" t="s">
        <v>62</v>
      </c>
      <c r="D85" s="8" t="s">
        <v>68</v>
      </c>
      <c r="E85" s="8">
        <v>100</v>
      </c>
      <c r="F85" s="8">
        <v>10.5</v>
      </c>
      <c r="G85" s="8">
        <v>99</v>
      </c>
      <c r="H85" s="7">
        <f t="shared" si="3"/>
        <v>99.6</v>
      </c>
      <c r="I85" s="7" t="str">
        <f t="shared" si="4"/>
        <v>PASS</v>
      </c>
      <c r="J85" s="7" t="str">
        <f t="shared" si="5"/>
        <v>Low Risk</v>
      </c>
      <c r="L85" s="7" t="str">
        <f>IF(J85="High Risk",COUNTIF($J$3:J85,"High Risk"),"")</f>
        <v/>
      </c>
      <c r="M85" s="7">
        <f>RANK(H85,$H$3:$H$1002,0)+COUNTIF($H$3:H85,H85)-1</f>
        <v>14</v>
      </c>
    </row>
    <row r="86" spans="1:13" x14ac:dyDescent="0.35">
      <c r="A86" s="7" t="s">
        <v>224</v>
      </c>
      <c r="B86" s="7" t="s">
        <v>225</v>
      </c>
      <c r="C86" s="8" t="s">
        <v>62</v>
      </c>
      <c r="D86" s="8" t="s">
        <v>75</v>
      </c>
      <c r="E86" s="8">
        <v>75.400000000000006</v>
      </c>
      <c r="F86" s="8">
        <v>3.8</v>
      </c>
      <c r="G86" s="8">
        <v>61</v>
      </c>
      <c r="H86" s="7">
        <f t="shared" si="3"/>
        <v>58.4</v>
      </c>
      <c r="I86" s="7" t="str">
        <f t="shared" si="4"/>
        <v>PASS</v>
      </c>
      <c r="J86" s="7" t="str">
        <f t="shared" si="5"/>
        <v>Medium Risk</v>
      </c>
      <c r="L86" s="7" t="str">
        <f>IF(J86="High Risk",COUNTIF($J$3:J86,"High Risk"),"")</f>
        <v/>
      </c>
      <c r="M86" s="7">
        <f>RANK(H86,$H$3:$H$1002,0)+COUNTIF($H$3:H86,H86)-1</f>
        <v>653</v>
      </c>
    </row>
    <row r="87" spans="1:13" x14ac:dyDescent="0.35">
      <c r="A87" s="7" t="s">
        <v>226</v>
      </c>
      <c r="B87" s="7" t="s">
        <v>227</v>
      </c>
      <c r="C87" s="8" t="s">
        <v>62</v>
      </c>
      <c r="D87" s="8" t="s">
        <v>63</v>
      </c>
      <c r="E87" s="8">
        <v>75.8</v>
      </c>
      <c r="F87" s="8">
        <v>6.7</v>
      </c>
      <c r="G87" s="8">
        <v>64</v>
      </c>
      <c r="H87" s="7">
        <f t="shared" si="3"/>
        <v>68.400000000000006</v>
      </c>
      <c r="I87" s="7" t="str">
        <f t="shared" si="4"/>
        <v>PASS</v>
      </c>
      <c r="J87" s="7" t="str">
        <f t="shared" si="5"/>
        <v>Low Risk</v>
      </c>
      <c r="L87" s="7" t="str">
        <f>IF(J87="High Risk",COUNTIF($J$3:J87,"High Risk"),"")</f>
        <v/>
      </c>
      <c r="M87" s="7">
        <f>RANK(H87,$H$3:$H$1002,0)+COUNTIF($H$3:H87,H87)-1</f>
        <v>465</v>
      </c>
    </row>
    <row r="88" spans="1:13" x14ac:dyDescent="0.35">
      <c r="A88" s="7" t="s">
        <v>228</v>
      </c>
      <c r="B88" s="7" t="s">
        <v>229</v>
      </c>
      <c r="C88" s="8" t="s">
        <v>62</v>
      </c>
      <c r="D88" s="8" t="s">
        <v>63</v>
      </c>
      <c r="E88" s="8">
        <v>56.4</v>
      </c>
      <c r="F88" s="8">
        <v>1.5</v>
      </c>
      <c r="G88" s="8">
        <v>58</v>
      </c>
      <c r="H88" s="7">
        <f t="shared" si="3"/>
        <v>44.6</v>
      </c>
      <c r="I88" s="7" t="str">
        <f t="shared" si="4"/>
        <v>FAIL</v>
      </c>
      <c r="J88" s="7" t="str">
        <f t="shared" si="5"/>
        <v>High Risk</v>
      </c>
      <c r="L88" s="7">
        <f>IF(J88="High Risk",COUNTIF($J$3:J88,"High Risk"),"")</f>
        <v>16</v>
      </c>
      <c r="M88" s="7">
        <f>RANK(H88,$H$3:$H$1002,0)+COUNTIF($H$3:H88,H88)-1</f>
        <v>855</v>
      </c>
    </row>
    <row r="89" spans="1:13" x14ac:dyDescent="0.35">
      <c r="A89" s="7" t="s">
        <v>230</v>
      </c>
      <c r="B89" s="7" t="s">
        <v>231</v>
      </c>
      <c r="C89" s="8" t="s">
        <v>56</v>
      </c>
      <c r="D89" s="8" t="s">
        <v>75</v>
      </c>
      <c r="E89" s="8">
        <v>87.7</v>
      </c>
      <c r="F89" s="8">
        <v>4.5999999999999996</v>
      </c>
      <c r="G89" s="8">
        <v>72</v>
      </c>
      <c r="H89" s="7">
        <f t="shared" si="3"/>
        <v>68.900000000000006</v>
      </c>
      <c r="I89" s="7" t="str">
        <f t="shared" si="4"/>
        <v>PASS</v>
      </c>
      <c r="J89" s="7" t="str">
        <f t="shared" si="5"/>
        <v>Low Risk</v>
      </c>
      <c r="L89" s="7" t="str">
        <f>IF(J89="High Risk",COUNTIF($J$3:J89,"High Risk"),"")</f>
        <v/>
      </c>
      <c r="M89" s="7">
        <f>RANK(H89,$H$3:$H$1002,0)+COUNTIF($H$3:H89,H89)-1</f>
        <v>453</v>
      </c>
    </row>
    <row r="90" spans="1:13" x14ac:dyDescent="0.35">
      <c r="A90" s="7" t="s">
        <v>232</v>
      </c>
      <c r="B90" s="7" t="s">
        <v>233</v>
      </c>
      <c r="C90" s="8" t="s">
        <v>62</v>
      </c>
      <c r="D90" s="8" t="s">
        <v>63</v>
      </c>
      <c r="E90" s="8">
        <v>72.2</v>
      </c>
      <c r="F90" s="8">
        <v>3.9</v>
      </c>
      <c r="G90" s="8">
        <v>60</v>
      </c>
      <c r="H90" s="7">
        <f t="shared" si="3"/>
        <v>57.4</v>
      </c>
      <c r="I90" s="7" t="str">
        <f t="shared" si="4"/>
        <v>PASS</v>
      </c>
      <c r="J90" s="7" t="str">
        <f t="shared" si="5"/>
        <v>Medium Risk</v>
      </c>
      <c r="L90" s="7" t="str">
        <f>IF(J90="High Risk",COUNTIF($J$3:J90,"High Risk"),"")</f>
        <v/>
      </c>
      <c r="M90" s="7">
        <f>RANK(H90,$H$3:$H$1002,0)+COUNTIF($H$3:H90,H90)-1</f>
        <v>675</v>
      </c>
    </row>
    <row r="91" spans="1:13" x14ac:dyDescent="0.35">
      <c r="A91" s="7" t="s">
        <v>234</v>
      </c>
      <c r="B91" s="7" t="s">
        <v>235</v>
      </c>
      <c r="C91" s="8" t="s">
        <v>56</v>
      </c>
      <c r="D91" s="8" t="s">
        <v>63</v>
      </c>
      <c r="E91" s="8">
        <v>93.2</v>
      </c>
      <c r="F91" s="8">
        <v>10.7</v>
      </c>
      <c r="G91" s="8">
        <v>98</v>
      </c>
      <c r="H91" s="7">
        <f t="shared" si="3"/>
        <v>97.2</v>
      </c>
      <c r="I91" s="7" t="str">
        <f t="shared" si="4"/>
        <v>PASS</v>
      </c>
      <c r="J91" s="7" t="str">
        <f t="shared" si="5"/>
        <v>Low Risk</v>
      </c>
      <c r="L91" s="7" t="str">
        <f>IF(J91="High Risk",COUNTIF($J$3:J91,"High Risk"),"")</f>
        <v/>
      </c>
      <c r="M91" s="7">
        <f>RANK(H91,$H$3:$H$1002,0)+COUNTIF($H$3:H91,H91)-1</f>
        <v>32</v>
      </c>
    </row>
    <row r="92" spans="1:13" x14ac:dyDescent="0.35">
      <c r="A92" s="7" t="s">
        <v>236</v>
      </c>
      <c r="B92" s="7" t="s">
        <v>237</v>
      </c>
      <c r="C92" s="8" t="s">
        <v>62</v>
      </c>
      <c r="D92" s="8" t="s">
        <v>68</v>
      </c>
      <c r="E92" s="8">
        <v>61.9</v>
      </c>
      <c r="F92" s="8">
        <v>4.9000000000000004</v>
      </c>
      <c r="G92" s="8">
        <v>56</v>
      </c>
      <c r="H92" s="7">
        <f t="shared" si="3"/>
        <v>55.7</v>
      </c>
      <c r="I92" s="7" t="str">
        <f t="shared" si="4"/>
        <v>PASS</v>
      </c>
      <c r="J92" s="7" t="str">
        <f t="shared" si="5"/>
        <v>Medium Risk</v>
      </c>
      <c r="L92" s="7" t="str">
        <f>IF(J92="High Risk",COUNTIF($J$3:J92,"High Risk"),"")</f>
        <v/>
      </c>
      <c r="M92" s="7">
        <f>RANK(H92,$H$3:$H$1002,0)+COUNTIF($H$3:H92,H92)-1</f>
        <v>701</v>
      </c>
    </row>
    <row r="93" spans="1:13" x14ac:dyDescent="0.35">
      <c r="A93" s="7" t="s">
        <v>238</v>
      </c>
      <c r="B93" s="7" t="s">
        <v>239</v>
      </c>
      <c r="C93" s="8" t="s">
        <v>56</v>
      </c>
      <c r="D93" s="8" t="s">
        <v>75</v>
      </c>
      <c r="E93" s="8">
        <v>68.900000000000006</v>
      </c>
      <c r="F93" s="8">
        <v>6.2</v>
      </c>
      <c r="G93" s="8">
        <v>64</v>
      </c>
      <c r="H93" s="7">
        <f t="shared" si="3"/>
        <v>64.900000000000006</v>
      </c>
      <c r="I93" s="7" t="str">
        <f t="shared" si="4"/>
        <v>PASS</v>
      </c>
      <c r="J93" s="7" t="str">
        <f t="shared" si="5"/>
        <v>Medium Risk</v>
      </c>
      <c r="L93" s="7" t="str">
        <f>IF(J93="High Risk",COUNTIF($J$3:J93,"High Risk"),"")</f>
        <v/>
      </c>
      <c r="M93" s="7">
        <f>RANK(H93,$H$3:$H$1002,0)+COUNTIF($H$3:H93,H93)-1</f>
        <v>532</v>
      </c>
    </row>
    <row r="94" spans="1:13" x14ac:dyDescent="0.35">
      <c r="A94" s="7" t="s">
        <v>240</v>
      </c>
      <c r="B94" s="7" t="s">
        <v>241</v>
      </c>
      <c r="C94" s="8" t="s">
        <v>62</v>
      </c>
      <c r="D94" s="8" t="s">
        <v>63</v>
      </c>
      <c r="E94" s="8">
        <v>71.400000000000006</v>
      </c>
      <c r="F94" s="8">
        <v>7.5</v>
      </c>
      <c r="G94" s="8">
        <v>66</v>
      </c>
      <c r="H94" s="7">
        <f t="shared" si="3"/>
        <v>70.3</v>
      </c>
      <c r="I94" s="7" t="str">
        <f t="shared" si="4"/>
        <v>PASS</v>
      </c>
      <c r="J94" s="7" t="str">
        <f t="shared" si="5"/>
        <v>Low Risk</v>
      </c>
      <c r="L94" s="7" t="str">
        <f>IF(J94="High Risk",COUNTIF($J$3:J94,"High Risk"),"")</f>
        <v/>
      </c>
      <c r="M94" s="7">
        <f>RANK(H94,$H$3:$H$1002,0)+COUNTIF($H$3:H94,H94)-1</f>
        <v>425</v>
      </c>
    </row>
    <row r="95" spans="1:13" x14ac:dyDescent="0.35">
      <c r="A95" s="7" t="s">
        <v>242</v>
      </c>
      <c r="B95" s="7" t="s">
        <v>243</v>
      </c>
      <c r="C95" s="8" t="s">
        <v>62</v>
      </c>
      <c r="D95" s="8" t="s">
        <v>57</v>
      </c>
      <c r="E95" s="8">
        <v>100</v>
      </c>
      <c r="F95" s="8">
        <v>8.3000000000000007</v>
      </c>
      <c r="G95" s="8">
        <v>100</v>
      </c>
      <c r="H95" s="7">
        <f t="shared" si="3"/>
        <v>94.9</v>
      </c>
      <c r="I95" s="7" t="str">
        <f t="shared" si="4"/>
        <v>PASS</v>
      </c>
      <c r="J95" s="7" t="str">
        <f t="shared" si="5"/>
        <v>Low Risk</v>
      </c>
      <c r="L95" s="7" t="str">
        <f>IF(J95="High Risk",COUNTIF($J$3:J95,"High Risk"),"")</f>
        <v/>
      </c>
      <c r="M95" s="7">
        <f>RANK(H95,$H$3:$H$1002,0)+COUNTIF($H$3:H95,H95)-1</f>
        <v>56</v>
      </c>
    </row>
    <row r="96" spans="1:13" x14ac:dyDescent="0.35">
      <c r="A96" s="7" t="s">
        <v>244</v>
      </c>
      <c r="B96" s="7" t="s">
        <v>245</v>
      </c>
      <c r="C96" s="8" t="s">
        <v>62</v>
      </c>
      <c r="D96" s="8" t="s">
        <v>63</v>
      </c>
      <c r="E96" s="8">
        <v>67.400000000000006</v>
      </c>
      <c r="F96" s="8">
        <v>7.1</v>
      </c>
      <c r="G96" s="8">
        <v>46</v>
      </c>
      <c r="H96" s="7">
        <f t="shared" si="3"/>
        <v>59.9</v>
      </c>
      <c r="I96" s="7" t="str">
        <f t="shared" si="4"/>
        <v>PASS</v>
      </c>
      <c r="J96" s="7" t="str">
        <f t="shared" si="5"/>
        <v>Medium Risk</v>
      </c>
      <c r="L96" s="7" t="str">
        <f>IF(J96="High Risk",COUNTIF($J$3:J96,"High Risk"),"")</f>
        <v/>
      </c>
      <c r="M96" s="7">
        <f>RANK(H96,$H$3:$H$1002,0)+COUNTIF($H$3:H96,H96)-1</f>
        <v>624</v>
      </c>
    </row>
    <row r="97" spans="1:13" x14ac:dyDescent="0.35">
      <c r="A97" s="7" t="s">
        <v>246</v>
      </c>
      <c r="B97" s="7" t="s">
        <v>247</v>
      </c>
      <c r="C97" s="8" t="s">
        <v>56</v>
      </c>
      <c r="D97" s="8" t="s">
        <v>63</v>
      </c>
      <c r="E97" s="8">
        <v>63</v>
      </c>
      <c r="F97" s="8">
        <v>0.8</v>
      </c>
      <c r="G97" s="8">
        <v>39</v>
      </c>
      <c r="H97" s="7">
        <f t="shared" si="3"/>
        <v>36.9</v>
      </c>
      <c r="I97" s="7" t="str">
        <f t="shared" si="4"/>
        <v>FAIL</v>
      </c>
      <c r="J97" s="7" t="str">
        <f t="shared" si="5"/>
        <v>High Risk</v>
      </c>
      <c r="L97" s="7">
        <f>IF(J97="High Risk",COUNTIF($J$3:J97,"High Risk"),"")</f>
        <v>17</v>
      </c>
      <c r="M97" s="7">
        <f>RANK(H97,$H$3:$H$1002,0)+COUNTIF($H$3:H97,H97)-1</f>
        <v>932</v>
      </c>
    </row>
    <row r="98" spans="1:13" x14ac:dyDescent="0.35">
      <c r="A98" s="7" t="s">
        <v>248</v>
      </c>
      <c r="B98" s="7" t="s">
        <v>249</v>
      </c>
      <c r="C98" s="8" t="s">
        <v>62</v>
      </c>
      <c r="D98" s="8" t="s">
        <v>75</v>
      </c>
      <c r="E98" s="8">
        <v>85.4</v>
      </c>
      <c r="F98" s="8">
        <v>10</v>
      </c>
      <c r="G98" s="8">
        <v>100</v>
      </c>
      <c r="H98" s="7">
        <f t="shared" si="3"/>
        <v>95.6</v>
      </c>
      <c r="I98" s="7" t="str">
        <f t="shared" si="4"/>
        <v>PASS</v>
      </c>
      <c r="J98" s="7" t="str">
        <f t="shared" si="5"/>
        <v>Low Risk</v>
      </c>
      <c r="L98" s="7" t="str">
        <f>IF(J98="High Risk",COUNTIF($J$3:J98,"High Risk"),"")</f>
        <v/>
      </c>
      <c r="M98" s="7">
        <f>RANK(H98,$H$3:$H$1002,0)+COUNTIF($H$3:H98,H98)-1</f>
        <v>51</v>
      </c>
    </row>
    <row r="99" spans="1:13" x14ac:dyDescent="0.35">
      <c r="A99" s="7" t="s">
        <v>250</v>
      </c>
      <c r="B99" s="7" t="s">
        <v>251</v>
      </c>
      <c r="C99" s="8" t="s">
        <v>56</v>
      </c>
      <c r="D99" s="8" t="s">
        <v>63</v>
      </c>
      <c r="E99" s="8">
        <v>77.7</v>
      </c>
      <c r="F99" s="8">
        <v>6.1</v>
      </c>
      <c r="G99" s="8">
        <v>73</v>
      </c>
      <c r="H99" s="7">
        <f t="shared" si="3"/>
        <v>70.8</v>
      </c>
      <c r="I99" s="7" t="str">
        <f t="shared" si="4"/>
        <v>PASS</v>
      </c>
      <c r="J99" s="7" t="str">
        <f t="shared" si="5"/>
        <v>Low Risk</v>
      </c>
      <c r="L99" s="7" t="str">
        <f>IF(J99="High Risk",COUNTIF($J$3:J99,"High Risk"),"")</f>
        <v/>
      </c>
      <c r="M99" s="7">
        <f>RANK(H99,$H$3:$H$1002,0)+COUNTIF($H$3:H99,H99)-1</f>
        <v>414</v>
      </c>
    </row>
    <row r="100" spans="1:13" x14ac:dyDescent="0.35">
      <c r="A100" s="7" t="s">
        <v>252</v>
      </c>
      <c r="B100" s="7" t="s">
        <v>253</v>
      </c>
      <c r="C100" s="8" t="s">
        <v>56</v>
      </c>
      <c r="D100" s="8" t="s">
        <v>75</v>
      </c>
      <c r="E100" s="8">
        <v>61</v>
      </c>
      <c r="F100" s="8">
        <v>4.5999999999999996</v>
      </c>
      <c r="G100" s="8">
        <v>66</v>
      </c>
      <c r="H100" s="7">
        <f t="shared" si="3"/>
        <v>58.5</v>
      </c>
      <c r="I100" s="7" t="str">
        <f t="shared" si="4"/>
        <v>PASS</v>
      </c>
      <c r="J100" s="7" t="str">
        <f t="shared" si="5"/>
        <v>Medium Risk</v>
      </c>
      <c r="L100" s="7" t="str">
        <f>IF(J100="High Risk",COUNTIF($J$3:J100,"High Risk"),"")</f>
        <v/>
      </c>
      <c r="M100" s="7">
        <f>RANK(H100,$H$3:$H$1002,0)+COUNTIF($H$3:H100,H100)-1</f>
        <v>652</v>
      </c>
    </row>
    <row r="101" spans="1:13" x14ac:dyDescent="0.35">
      <c r="A101" s="7" t="s">
        <v>254</v>
      </c>
      <c r="B101" s="7" t="s">
        <v>255</v>
      </c>
      <c r="C101" s="8" t="s">
        <v>62</v>
      </c>
      <c r="D101" s="8" t="s">
        <v>57</v>
      </c>
      <c r="E101" s="8">
        <v>86.7</v>
      </c>
      <c r="F101" s="8">
        <v>2.9</v>
      </c>
      <c r="G101" s="8">
        <v>56</v>
      </c>
      <c r="H101" s="7">
        <f t="shared" si="3"/>
        <v>57.1</v>
      </c>
      <c r="I101" s="7" t="str">
        <f t="shared" si="4"/>
        <v>PASS</v>
      </c>
      <c r="J101" s="7" t="str">
        <f t="shared" si="5"/>
        <v>Medium Risk</v>
      </c>
      <c r="L101" s="7" t="str">
        <f>IF(J101="High Risk",COUNTIF($J$3:J101,"High Risk"),"")</f>
        <v/>
      </c>
      <c r="M101" s="7">
        <f>RANK(H101,$H$3:$H$1002,0)+COUNTIF($H$3:H101,H101)-1</f>
        <v>682</v>
      </c>
    </row>
    <row r="102" spans="1:13" x14ac:dyDescent="0.35">
      <c r="A102" s="7" t="s">
        <v>256</v>
      </c>
      <c r="B102" s="7" t="s">
        <v>257</v>
      </c>
      <c r="C102" s="8" t="s">
        <v>56</v>
      </c>
      <c r="D102" s="8" t="s">
        <v>63</v>
      </c>
      <c r="E102" s="8">
        <v>41.3</v>
      </c>
      <c r="F102" s="8">
        <v>3</v>
      </c>
      <c r="G102" s="8">
        <v>43</v>
      </c>
      <c r="H102" s="7">
        <f t="shared" si="3"/>
        <v>38.6</v>
      </c>
      <c r="I102" s="7" t="str">
        <f t="shared" si="4"/>
        <v>FAIL</v>
      </c>
      <c r="J102" s="7" t="str">
        <f t="shared" si="5"/>
        <v>High Risk</v>
      </c>
      <c r="L102" s="7">
        <f>IF(J102="High Risk",COUNTIF($J$3:J102,"High Risk"),"")</f>
        <v>18</v>
      </c>
      <c r="M102" s="7">
        <f>RANK(H102,$H$3:$H$1002,0)+COUNTIF($H$3:H102,H102)-1</f>
        <v>915</v>
      </c>
    </row>
    <row r="103" spans="1:13" x14ac:dyDescent="0.35">
      <c r="A103" s="7" t="s">
        <v>258</v>
      </c>
      <c r="B103" s="7" t="s">
        <v>259</v>
      </c>
      <c r="C103" s="8" t="s">
        <v>56</v>
      </c>
      <c r="D103" s="8" t="s">
        <v>63</v>
      </c>
      <c r="E103" s="8">
        <v>74.099999999999994</v>
      </c>
      <c r="F103" s="8">
        <v>6.7</v>
      </c>
      <c r="G103" s="8">
        <v>83</v>
      </c>
      <c r="H103" s="7">
        <f t="shared" si="3"/>
        <v>75.5</v>
      </c>
      <c r="I103" s="7" t="str">
        <f t="shared" si="4"/>
        <v>PASS</v>
      </c>
      <c r="J103" s="7" t="str">
        <f t="shared" si="5"/>
        <v>Low Risk</v>
      </c>
      <c r="L103" s="7" t="str">
        <f>IF(J103="High Risk",COUNTIF($J$3:J103,"High Risk"),"")</f>
        <v/>
      </c>
      <c r="M103" s="7">
        <f>RANK(H103,$H$3:$H$1002,0)+COUNTIF($H$3:H103,H103)-1</f>
        <v>317</v>
      </c>
    </row>
    <row r="104" spans="1:13" x14ac:dyDescent="0.35">
      <c r="A104" s="7" t="s">
        <v>260</v>
      </c>
      <c r="B104" s="7" t="s">
        <v>261</v>
      </c>
      <c r="C104" s="8" t="s">
        <v>62</v>
      </c>
      <c r="D104" s="8" t="s">
        <v>68</v>
      </c>
      <c r="E104" s="8">
        <v>57.5</v>
      </c>
      <c r="F104" s="8">
        <v>3.5</v>
      </c>
      <c r="G104" s="8">
        <v>48</v>
      </c>
      <c r="H104" s="7">
        <f t="shared" si="3"/>
        <v>47</v>
      </c>
      <c r="I104" s="7" t="str">
        <f t="shared" si="4"/>
        <v>FAIL</v>
      </c>
      <c r="J104" s="7" t="str">
        <f t="shared" si="5"/>
        <v>High Risk</v>
      </c>
      <c r="L104" s="7">
        <f>IF(J104="High Risk",COUNTIF($J$3:J104,"High Risk"),"")</f>
        <v>19</v>
      </c>
      <c r="M104" s="7">
        <f>RANK(H104,$H$3:$H$1002,0)+COUNTIF($H$3:H104,H104)-1</f>
        <v>836</v>
      </c>
    </row>
    <row r="105" spans="1:13" x14ac:dyDescent="0.35">
      <c r="A105" s="7" t="s">
        <v>262</v>
      </c>
      <c r="B105" s="7" t="s">
        <v>263</v>
      </c>
      <c r="C105" s="8" t="s">
        <v>62</v>
      </c>
      <c r="D105" s="8" t="s">
        <v>63</v>
      </c>
      <c r="E105" s="8">
        <v>86.6</v>
      </c>
      <c r="F105" s="8">
        <v>6.1</v>
      </c>
      <c r="G105" s="8">
        <v>63</v>
      </c>
      <c r="H105" s="7">
        <f t="shared" si="3"/>
        <v>69.5</v>
      </c>
      <c r="I105" s="7" t="str">
        <f t="shared" si="4"/>
        <v>PASS</v>
      </c>
      <c r="J105" s="7" t="str">
        <f t="shared" si="5"/>
        <v>Low Risk</v>
      </c>
      <c r="L105" s="7" t="str">
        <f>IF(J105="High Risk",COUNTIF($J$3:J105,"High Risk"),"")</f>
        <v/>
      </c>
      <c r="M105" s="7">
        <f>RANK(H105,$H$3:$H$1002,0)+COUNTIF($H$3:H105,H105)-1</f>
        <v>439</v>
      </c>
    </row>
    <row r="106" spans="1:13" x14ac:dyDescent="0.35">
      <c r="A106" s="7" t="s">
        <v>264</v>
      </c>
      <c r="B106" s="7" t="s">
        <v>265</v>
      </c>
      <c r="C106" s="8" t="s">
        <v>56</v>
      </c>
      <c r="D106" s="8" t="s">
        <v>68</v>
      </c>
      <c r="E106" s="8">
        <v>46.2</v>
      </c>
      <c r="F106" s="8">
        <v>3.2</v>
      </c>
      <c r="G106" s="8">
        <v>50</v>
      </c>
      <c r="H106" s="7">
        <f t="shared" si="3"/>
        <v>43.5</v>
      </c>
      <c r="I106" s="7" t="str">
        <f t="shared" si="4"/>
        <v>FAIL</v>
      </c>
      <c r="J106" s="7" t="str">
        <f t="shared" si="5"/>
        <v>High Risk</v>
      </c>
      <c r="L106" s="7">
        <f>IF(J106="High Risk",COUNTIF($J$3:J106,"High Risk"),"")</f>
        <v>20</v>
      </c>
      <c r="M106" s="7">
        <f>RANK(H106,$H$3:$H$1002,0)+COUNTIF($H$3:H106,H106)-1</f>
        <v>867</v>
      </c>
    </row>
    <row r="107" spans="1:13" x14ac:dyDescent="0.35">
      <c r="A107" s="7" t="s">
        <v>266</v>
      </c>
      <c r="B107" s="7" t="s">
        <v>267</v>
      </c>
      <c r="C107" s="8" t="s">
        <v>62</v>
      </c>
      <c r="D107" s="8" t="s">
        <v>57</v>
      </c>
      <c r="E107" s="8">
        <v>50.9</v>
      </c>
      <c r="F107" s="8">
        <v>2.2000000000000002</v>
      </c>
      <c r="G107" s="8">
        <v>47</v>
      </c>
      <c r="H107" s="7">
        <f t="shared" si="3"/>
        <v>40.700000000000003</v>
      </c>
      <c r="I107" s="7" t="str">
        <f t="shared" si="4"/>
        <v>FAIL</v>
      </c>
      <c r="J107" s="7" t="str">
        <f t="shared" si="5"/>
        <v>High Risk</v>
      </c>
      <c r="L107" s="7">
        <f>IF(J107="High Risk",COUNTIF($J$3:J107,"High Risk"),"")</f>
        <v>21</v>
      </c>
      <c r="M107" s="7">
        <f>RANK(H107,$H$3:$H$1002,0)+COUNTIF($H$3:H107,H107)-1</f>
        <v>894</v>
      </c>
    </row>
    <row r="108" spans="1:13" x14ac:dyDescent="0.35">
      <c r="A108" s="7" t="s">
        <v>268</v>
      </c>
      <c r="B108" s="7" t="s">
        <v>269</v>
      </c>
      <c r="C108" s="8" t="s">
        <v>62</v>
      </c>
      <c r="D108" s="8" t="s">
        <v>75</v>
      </c>
      <c r="E108" s="8">
        <v>84.9</v>
      </c>
      <c r="F108" s="8">
        <v>5.4</v>
      </c>
      <c r="G108" s="8">
        <v>76</v>
      </c>
      <c r="H108" s="7">
        <f t="shared" si="3"/>
        <v>72.099999999999994</v>
      </c>
      <c r="I108" s="7" t="str">
        <f t="shared" si="4"/>
        <v>PASS</v>
      </c>
      <c r="J108" s="7" t="str">
        <f t="shared" si="5"/>
        <v>Low Risk</v>
      </c>
      <c r="L108" s="7" t="str">
        <f>IF(J108="High Risk",COUNTIF($J$3:J108,"High Risk"),"")</f>
        <v/>
      </c>
      <c r="M108" s="7">
        <f>RANK(H108,$H$3:$H$1002,0)+COUNTIF($H$3:H108,H108)-1</f>
        <v>381</v>
      </c>
    </row>
    <row r="109" spans="1:13" x14ac:dyDescent="0.35">
      <c r="A109" s="7" t="s">
        <v>270</v>
      </c>
      <c r="B109" s="7" t="s">
        <v>271</v>
      </c>
      <c r="C109" s="8" t="s">
        <v>62</v>
      </c>
      <c r="D109" s="8" t="s">
        <v>63</v>
      </c>
      <c r="E109" s="8">
        <v>64.400000000000006</v>
      </c>
      <c r="F109" s="8">
        <v>1.8</v>
      </c>
      <c r="G109" s="8">
        <v>69</v>
      </c>
      <c r="H109" s="7">
        <f t="shared" si="3"/>
        <v>52.3</v>
      </c>
      <c r="I109" s="7" t="str">
        <f t="shared" si="4"/>
        <v>PASS</v>
      </c>
      <c r="J109" s="7" t="str">
        <f t="shared" si="5"/>
        <v>Medium Risk</v>
      </c>
      <c r="L109" s="7" t="str">
        <f>IF(J109="High Risk",COUNTIF($J$3:J109,"High Risk"),"")</f>
        <v/>
      </c>
      <c r="M109" s="7">
        <f>RANK(H109,$H$3:$H$1002,0)+COUNTIF($H$3:H109,H109)-1</f>
        <v>765</v>
      </c>
    </row>
    <row r="110" spans="1:13" x14ac:dyDescent="0.35">
      <c r="A110" s="7" t="s">
        <v>272</v>
      </c>
      <c r="B110" s="7" t="s">
        <v>273</v>
      </c>
      <c r="C110" s="8" t="s">
        <v>62</v>
      </c>
      <c r="D110" s="8" t="s">
        <v>68</v>
      </c>
      <c r="E110" s="8">
        <v>100</v>
      </c>
      <c r="F110" s="8">
        <v>10.5</v>
      </c>
      <c r="G110" s="8">
        <v>96</v>
      </c>
      <c r="H110" s="7">
        <f t="shared" si="3"/>
        <v>98.4</v>
      </c>
      <c r="I110" s="7" t="str">
        <f t="shared" si="4"/>
        <v>PASS</v>
      </c>
      <c r="J110" s="7" t="str">
        <f t="shared" si="5"/>
        <v>Low Risk</v>
      </c>
      <c r="L110" s="7" t="str">
        <f>IF(J110="High Risk",COUNTIF($J$3:J110,"High Risk"),"")</f>
        <v/>
      </c>
      <c r="M110" s="7">
        <f>RANK(H110,$H$3:$H$1002,0)+COUNTIF($H$3:H110,H110)-1</f>
        <v>25</v>
      </c>
    </row>
    <row r="111" spans="1:13" x14ac:dyDescent="0.35">
      <c r="A111" s="7" t="s">
        <v>274</v>
      </c>
      <c r="B111" s="7" t="s">
        <v>275</v>
      </c>
      <c r="C111" s="8" t="s">
        <v>62</v>
      </c>
      <c r="D111" s="8" t="s">
        <v>75</v>
      </c>
      <c r="E111" s="8">
        <v>71.400000000000006</v>
      </c>
      <c r="F111" s="8">
        <v>5.0999999999999996</v>
      </c>
      <c r="G111" s="8">
        <v>64</v>
      </c>
      <c r="H111" s="7">
        <f t="shared" si="3"/>
        <v>62.3</v>
      </c>
      <c r="I111" s="7" t="str">
        <f t="shared" si="4"/>
        <v>PASS</v>
      </c>
      <c r="J111" s="7" t="str">
        <f t="shared" si="5"/>
        <v>Medium Risk</v>
      </c>
      <c r="L111" s="7" t="str">
        <f>IF(J111="High Risk",COUNTIF($J$3:J111,"High Risk"),"")</f>
        <v/>
      </c>
      <c r="M111" s="7">
        <f>RANK(H111,$H$3:$H$1002,0)+COUNTIF($H$3:H111,H111)-1</f>
        <v>575</v>
      </c>
    </row>
    <row r="112" spans="1:13" x14ac:dyDescent="0.35">
      <c r="A112" s="7" t="s">
        <v>276</v>
      </c>
      <c r="B112" s="7" t="s">
        <v>277</v>
      </c>
      <c r="C112" s="8" t="s">
        <v>62</v>
      </c>
      <c r="D112" s="8" t="s">
        <v>63</v>
      </c>
      <c r="E112" s="8">
        <v>100</v>
      </c>
      <c r="F112" s="8">
        <v>9.8000000000000007</v>
      </c>
      <c r="G112" s="8">
        <v>91</v>
      </c>
      <c r="H112" s="7">
        <f t="shared" si="3"/>
        <v>95.8</v>
      </c>
      <c r="I112" s="7" t="str">
        <f t="shared" si="4"/>
        <v>PASS</v>
      </c>
      <c r="J112" s="7" t="str">
        <f t="shared" si="5"/>
        <v>Low Risk</v>
      </c>
      <c r="L112" s="7" t="str">
        <f>IF(J112="High Risk",COUNTIF($J$3:J112,"High Risk"),"")</f>
        <v/>
      </c>
      <c r="M112" s="7">
        <f>RANK(H112,$H$3:$H$1002,0)+COUNTIF($H$3:H112,H112)-1</f>
        <v>48</v>
      </c>
    </row>
    <row r="113" spans="1:13" x14ac:dyDescent="0.35">
      <c r="A113" s="7" t="s">
        <v>278</v>
      </c>
      <c r="B113" s="7" t="s">
        <v>279</v>
      </c>
      <c r="C113" s="8" t="s">
        <v>56</v>
      </c>
      <c r="D113" s="8" t="s">
        <v>57</v>
      </c>
      <c r="E113" s="8">
        <v>69.2</v>
      </c>
      <c r="F113" s="8">
        <v>5</v>
      </c>
      <c r="G113" s="8">
        <v>53</v>
      </c>
      <c r="H113" s="7">
        <f t="shared" si="3"/>
        <v>57</v>
      </c>
      <c r="I113" s="7" t="str">
        <f t="shared" si="4"/>
        <v>PASS</v>
      </c>
      <c r="J113" s="7" t="str">
        <f t="shared" si="5"/>
        <v>Medium Risk</v>
      </c>
      <c r="L113" s="7" t="str">
        <f>IF(J113="High Risk",COUNTIF($J$3:J113,"High Risk"),"")</f>
        <v/>
      </c>
      <c r="M113" s="7">
        <f>RANK(H113,$H$3:$H$1002,0)+COUNTIF($H$3:H113,H113)-1</f>
        <v>684</v>
      </c>
    </row>
    <row r="114" spans="1:13" x14ac:dyDescent="0.35">
      <c r="A114" s="7" t="s">
        <v>280</v>
      </c>
      <c r="B114" s="7" t="s">
        <v>281</v>
      </c>
      <c r="C114" s="8" t="s">
        <v>56</v>
      </c>
      <c r="D114" s="8" t="s">
        <v>57</v>
      </c>
      <c r="E114" s="8">
        <v>83.6</v>
      </c>
      <c r="F114" s="8">
        <v>7.4</v>
      </c>
      <c r="G114" s="8">
        <v>69</v>
      </c>
      <c r="H114" s="7">
        <f t="shared" si="3"/>
        <v>74.900000000000006</v>
      </c>
      <c r="I114" s="7" t="str">
        <f t="shared" si="4"/>
        <v>PASS</v>
      </c>
      <c r="J114" s="7" t="str">
        <f t="shared" si="5"/>
        <v>Low Risk</v>
      </c>
      <c r="L114" s="7" t="str">
        <f>IF(J114="High Risk",COUNTIF($J$3:J114,"High Risk"),"")</f>
        <v/>
      </c>
      <c r="M114" s="7">
        <f>RANK(H114,$H$3:$H$1002,0)+COUNTIF($H$3:H114,H114)-1</f>
        <v>324</v>
      </c>
    </row>
    <row r="115" spans="1:13" x14ac:dyDescent="0.35">
      <c r="A115" s="7" t="s">
        <v>282</v>
      </c>
      <c r="B115" s="7" t="s">
        <v>283</v>
      </c>
      <c r="C115" s="8" t="s">
        <v>62</v>
      </c>
      <c r="D115" s="8" t="s">
        <v>75</v>
      </c>
      <c r="E115" s="8">
        <v>85.1</v>
      </c>
      <c r="F115" s="8">
        <v>4.5999999999999996</v>
      </c>
      <c r="G115" s="8">
        <v>64</v>
      </c>
      <c r="H115" s="7">
        <f t="shared" si="3"/>
        <v>64.900000000000006</v>
      </c>
      <c r="I115" s="7" t="str">
        <f t="shared" si="4"/>
        <v>PASS</v>
      </c>
      <c r="J115" s="7" t="str">
        <f t="shared" si="5"/>
        <v>Medium Risk</v>
      </c>
      <c r="L115" s="7" t="str">
        <f>IF(J115="High Risk",COUNTIF($J$3:J115,"High Risk"),"")</f>
        <v/>
      </c>
      <c r="M115" s="7">
        <f>RANK(H115,$H$3:$H$1002,0)+COUNTIF($H$3:H115,H115)-1</f>
        <v>533</v>
      </c>
    </row>
    <row r="116" spans="1:13" x14ac:dyDescent="0.35">
      <c r="A116" s="7" t="s">
        <v>284</v>
      </c>
      <c r="B116" s="7" t="s">
        <v>285</v>
      </c>
      <c r="C116" s="8" t="s">
        <v>56</v>
      </c>
      <c r="D116" s="8" t="s">
        <v>57</v>
      </c>
      <c r="E116" s="8">
        <v>70.8</v>
      </c>
      <c r="F116" s="8">
        <v>8.6</v>
      </c>
      <c r="G116" s="8">
        <v>66</v>
      </c>
      <c r="H116" s="7">
        <f t="shared" si="3"/>
        <v>73.400000000000006</v>
      </c>
      <c r="I116" s="7" t="str">
        <f t="shared" si="4"/>
        <v>PASS</v>
      </c>
      <c r="J116" s="7" t="str">
        <f t="shared" si="5"/>
        <v>Low Risk</v>
      </c>
      <c r="L116" s="7" t="str">
        <f>IF(J116="High Risk",COUNTIF($J$3:J116,"High Risk"),"")</f>
        <v/>
      </c>
      <c r="M116" s="7">
        <f>RANK(H116,$H$3:$H$1002,0)+COUNTIF($H$3:H116,H116)-1</f>
        <v>350</v>
      </c>
    </row>
    <row r="117" spans="1:13" x14ac:dyDescent="0.35">
      <c r="A117" s="7" t="s">
        <v>286</v>
      </c>
      <c r="B117" s="7" t="s">
        <v>287</v>
      </c>
      <c r="C117" s="8" t="s">
        <v>56</v>
      </c>
      <c r="D117" s="8" t="s">
        <v>75</v>
      </c>
      <c r="E117" s="8">
        <v>30</v>
      </c>
      <c r="F117" s="8">
        <v>0</v>
      </c>
      <c r="G117" s="8">
        <v>20</v>
      </c>
      <c r="H117" s="7">
        <f t="shared" si="3"/>
        <v>17</v>
      </c>
      <c r="I117" s="7" t="str">
        <f t="shared" si="4"/>
        <v>FAIL</v>
      </c>
      <c r="J117" s="7" t="str">
        <f t="shared" si="5"/>
        <v>High Risk</v>
      </c>
      <c r="L117" s="7">
        <f>IF(J117="High Risk",COUNTIF($J$3:J117,"High Risk"),"")</f>
        <v>22</v>
      </c>
      <c r="M117" s="7">
        <f>RANK(H117,$H$3:$H$1002,0)+COUNTIF($H$3:H117,H117)-1</f>
        <v>998</v>
      </c>
    </row>
    <row r="118" spans="1:13" x14ac:dyDescent="0.35">
      <c r="A118" s="7" t="s">
        <v>288</v>
      </c>
      <c r="B118" s="7" t="s">
        <v>289</v>
      </c>
      <c r="C118" s="8" t="s">
        <v>62</v>
      </c>
      <c r="D118" s="8" t="s">
        <v>63</v>
      </c>
      <c r="E118" s="8">
        <v>56.7</v>
      </c>
      <c r="F118" s="8">
        <v>2.8</v>
      </c>
      <c r="G118" s="8">
        <v>53</v>
      </c>
      <c r="H118" s="7">
        <f t="shared" si="3"/>
        <v>46.6</v>
      </c>
      <c r="I118" s="7" t="str">
        <f t="shared" si="4"/>
        <v>FAIL</v>
      </c>
      <c r="J118" s="7" t="str">
        <f t="shared" si="5"/>
        <v>High Risk</v>
      </c>
      <c r="L118" s="7">
        <f>IF(J118="High Risk",COUNTIF($J$3:J118,"High Risk"),"")</f>
        <v>23</v>
      </c>
      <c r="M118" s="7">
        <f>RANK(H118,$H$3:$H$1002,0)+COUNTIF($H$3:H118,H118)-1</f>
        <v>842</v>
      </c>
    </row>
    <row r="119" spans="1:13" x14ac:dyDescent="0.35">
      <c r="A119" s="7" t="s">
        <v>290</v>
      </c>
      <c r="B119" s="7" t="s">
        <v>291</v>
      </c>
      <c r="C119" s="8" t="s">
        <v>56</v>
      </c>
      <c r="D119" s="8" t="s">
        <v>57</v>
      </c>
      <c r="E119" s="8">
        <v>73.400000000000006</v>
      </c>
      <c r="F119" s="8">
        <v>6</v>
      </c>
      <c r="G119" s="8">
        <v>55</v>
      </c>
      <c r="H119" s="7">
        <f t="shared" si="3"/>
        <v>62</v>
      </c>
      <c r="I119" s="7" t="str">
        <f t="shared" si="4"/>
        <v>PASS</v>
      </c>
      <c r="J119" s="7" t="str">
        <f t="shared" si="5"/>
        <v>Medium Risk</v>
      </c>
      <c r="L119" s="7" t="str">
        <f>IF(J119="High Risk",COUNTIF($J$3:J119,"High Risk"),"")</f>
        <v/>
      </c>
      <c r="M119" s="7">
        <f>RANK(H119,$H$3:$H$1002,0)+COUNTIF($H$3:H119,H119)-1</f>
        <v>580</v>
      </c>
    </row>
    <row r="120" spans="1:13" x14ac:dyDescent="0.35">
      <c r="A120" s="7" t="s">
        <v>292</v>
      </c>
      <c r="B120" s="7" t="s">
        <v>293</v>
      </c>
      <c r="C120" s="8" t="s">
        <v>62</v>
      </c>
      <c r="D120" s="8" t="s">
        <v>68</v>
      </c>
      <c r="E120" s="8">
        <v>66.3</v>
      </c>
      <c r="F120" s="8">
        <v>6.1</v>
      </c>
      <c r="G120" s="8">
        <v>59</v>
      </c>
      <c r="H120" s="7">
        <f t="shared" si="3"/>
        <v>61.8</v>
      </c>
      <c r="I120" s="7" t="str">
        <f t="shared" si="4"/>
        <v>PASS</v>
      </c>
      <c r="J120" s="7" t="str">
        <f t="shared" si="5"/>
        <v>Medium Risk</v>
      </c>
      <c r="L120" s="7" t="str">
        <f>IF(J120="High Risk",COUNTIF($J$3:J120,"High Risk"),"")</f>
        <v/>
      </c>
      <c r="M120" s="7">
        <f>RANK(H120,$H$3:$H$1002,0)+COUNTIF($H$3:H120,H120)-1</f>
        <v>587</v>
      </c>
    </row>
    <row r="121" spans="1:13" x14ac:dyDescent="0.35">
      <c r="A121" s="7" t="s">
        <v>294</v>
      </c>
      <c r="B121" s="7" t="s">
        <v>295</v>
      </c>
      <c r="C121" s="8" t="s">
        <v>62</v>
      </c>
      <c r="D121" s="8" t="s">
        <v>68</v>
      </c>
      <c r="E121" s="8">
        <v>61.5</v>
      </c>
      <c r="F121" s="8">
        <v>0.4</v>
      </c>
      <c r="G121" s="8">
        <v>51</v>
      </c>
      <c r="H121" s="7">
        <f t="shared" si="3"/>
        <v>40.1</v>
      </c>
      <c r="I121" s="7" t="str">
        <f t="shared" si="4"/>
        <v>FAIL</v>
      </c>
      <c r="J121" s="7" t="str">
        <f t="shared" si="5"/>
        <v>High Risk</v>
      </c>
      <c r="L121" s="7">
        <f>IF(J121="High Risk",COUNTIF($J$3:J121,"High Risk"),"")</f>
        <v>24</v>
      </c>
      <c r="M121" s="7">
        <f>RANK(H121,$H$3:$H$1002,0)+COUNTIF($H$3:H121,H121)-1</f>
        <v>903</v>
      </c>
    </row>
    <row r="122" spans="1:13" x14ac:dyDescent="0.35">
      <c r="A122" s="7" t="s">
        <v>296</v>
      </c>
      <c r="B122" s="7" t="s">
        <v>297</v>
      </c>
      <c r="C122" s="8" t="s">
        <v>62</v>
      </c>
      <c r="D122" s="8" t="s">
        <v>68</v>
      </c>
      <c r="E122" s="8">
        <v>100</v>
      </c>
      <c r="F122" s="8">
        <v>9.6999999999999993</v>
      </c>
      <c r="G122" s="8">
        <v>98</v>
      </c>
      <c r="H122" s="7">
        <f t="shared" si="3"/>
        <v>98.3</v>
      </c>
      <c r="I122" s="7" t="str">
        <f t="shared" si="4"/>
        <v>PASS</v>
      </c>
      <c r="J122" s="7" t="str">
        <f t="shared" si="5"/>
        <v>Low Risk</v>
      </c>
      <c r="L122" s="7" t="str">
        <f>IF(J122="High Risk",COUNTIF($J$3:J122,"High Risk"),"")</f>
        <v/>
      </c>
      <c r="M122" s="7">
        <f>RANK(H122,$H$3:$H$1002,0)+COUNTIF($H$3:H122,H122)-1</f>
        <v>27</v>
      </c>
    </row>
    <row r="123" spans="1:13" x14ac:dyDescent="0.35">
      <c r="A123" s="7" t="s">
        <v>298</v>
      </c>
      <c r="B123" s="7" t="s">
        <v>299</v>
      </c>
      <c r="C123" s="8" t="s">
        <v>62</v>
      </c>
      <c r="D123" s="8" t="s">
        <v>68</v>
      </c>
      <c r="E123" s="8">
        <v>80.099999999999994</v>
      </c>
      <c r="F123" s="8">
        <v>7.8</v>
      </c>
      <c r="G123" s="8">
        <v>87</v>
      </c>
      <c r="H123" s="7">
        <f t="shared" si="3"/>
        <v>82.2</v>
      </c>
      <c r="I123" s="7" t="str">
        <f t="shared" si="4"/>
        <v>PASS</v>
      </c>
      <c r="J123" s="7" t="str">
        <f t="shared" si="5"/>
        <v>Low Risk</v>
      </c>
      <c r="L123" s="7" t="str">
        <f>IF(J123="High Risk",COUNTIF($J$3:J123,"High Risk"),"")</f>
        <v/>
      </c>
      <c r="M123" s="7">
        <f>RANK(H123,$H$3:$H$1002,0)+COUNTIF($H$3:H123,H123)-1</f>
        <v>210</v>
      </c>
    </row>
    <row r="124" spans="1:13" x14ac:dyDescent="0.35">
      <c r="A124" s="7" t="s">
        <v>300</v>
      </c>
      <c r="B124" s="7" t="s">
        <v>301</v>
      </c>
      <c r="C124" s="8" t="s">
        <v>62</v>
      </c>
      <c r="D124" s="8" t="s">
        <v>57</v>
      </c>
      <c r="E124" s="8">
        <v>99</v>
      </c>
      <c r="F124" s="8">
        <v>14.7</v>
      </c>
      <c r="G124" s="8">
        <v>73</v>
      </c>
      <c r="H124" s="7">
        <f t="shared" si="3"/>
        <v>88.9</v>
      </c>
      <c r="I124" s="7" t="str">
        <f t="shared" si="4"/>
        <v>PASS</v>
      </c>
      <c r="J124" s="7" t="str">
        <f t="shared" si="5"/>
        <v>Low Risk</v>
      </c>
      <c r="L124" s="7" t="str">
        <f>IF(J124="High Risk",COUNTIF($J$3:J124,"High Risk"),"")</f>
        <v/>
      </c>
      <c r="M124" s="7">
        <f>RANK(H124,$H$3:$H$1002,0)+COUNTIF($H$3:H124,H124)-1</f>
        <v>118</v>
      </c>
    </row>
    <row r="125" spans="1:13" x14ac:dyDescent="0.35">
      <c r="A125" s="7" t="s">
        <v>302</v>
      </c>
      <c r="B125" s="7" t="s">
        <v>257</v>
      </c>
      <c r="C125" s="8" t="s">
        <v>56</v>
      </c>
      <c r="D125" s="8" t="s">
        <v>63</v>
      </c>
      <c r="E125" s="8">
        <v>69.5</v>
      </c>
      <c r="F125" s="8">
        <v>6.4</v>
      </c>
      <c r="G125" s="8">
        <v>68</v>
      </c>
      <c r="H125" s="7">
        <f t="shared" si="3"/>
        <v>67.3</v>
      </c>
      <c r="I125" s="7" t="str">
        <f t="shared" si="4"/>
        <v>PASS</v>
      </c>
      <c r="J125" s="7" t="str">
        <f t="shared" si="5"/>
        <v>Low Risk</v>
      </c>
      <c r="L125" s="7" t="str">
        <f>IF(J125="High Risk",COUNTIF($J$3:J125,"High Risk"),"")</f>
        <v/>
      </c>
      <c r="M125" s="7">
        <f>RANK(H125,$H$3:$H$1002,0)+COUNTIF($H$3:H125,H125)-1</f>
        <v>490</v>
      </c>
    </row>
    <row r="126" spans="1:13" x14ac:dyDescent="0.35">
      <c r="A126" s="7" t="s">
        <v>303</v>
      </c>
      <c r="B126" s="7" t="s">
        <v>304</v>
      </c>
      <c r="C126" s="8" t="s">
        <v>56</v>
      </c>
      <c r="D126" s="8" t="s">
        <v>68</v>
      </c>
      <c r="E126" s="8">
        <v>78.599999999999994</v>
      </c>
      <c r="F126" s="8">
        <v>6.7</v>
      </c>
      <c r="G126" s="8">
        <v>68</v>
      </c>
      <c r="H126" s="7">
        <f t="shared" si="3"/>
        <v>70.900000000000006</v>
      </c>
      <c r="I126" s="7" t="str">
        <f t="shared" si="4"/>
        <v>PASS</v>
      </c>
      <c r="J126" s="7" t="str">
        <f t="shared" si="5"/>
        <v>Low Risk</v>
      </c>
      <c r="L126" s="7" t="str">
        <f>IF(J126="High Risk",COUNTIF($J$3:J126,"High Risk"),"")</f>
        <v/>
      </c>
      <c r="M126" s="7">
        <f>RANK(H126,$H$3:$H$1002,0)+COUNTIF($H$3:H126,H126)-1</f>
        <v>413</v>
      </c>
    </row>
    <row r="127" spans="1:13" x14ac:dyDescent="0.35">
      <c r="A127" s="7" t="s">
        <v>305</v>
      </c>
      <c r="B127" s="7" t="s">
        <v>306</v>
      </c>
      <c r="C127" s="8" t="s">
        <v>56</v>
      </c>
      <c r="D127" s="8" t="s">
        <v>57</v>
      </c>
      <c r="E127" s="8">
        <v>81.3</v>
      </c>
      <c r="F127" s="8">
        <v>8.6</v>
      </c>
      <c r="G127" s="8">
        <v>95</v>
      </c>
      <c r="H127" s="7">
        <f t="shared" si="3"/>
        <v>88.2</v>
      </c>
      <c r="I127" s="7" t="str">
        <f t="shared" si="4"/>
        <v>PASS</v>
      </c>
      <c r="J127" s="7" t="str">
        <f t="shared" si="5"/>
        <v>Low Risk</v>
      </c>
      <c r="L127" s="7" t="str">
        <f>IF(J127="High Risk",COUNTIF($J$3:J127,"High Risk"),"")</f>
        <v/>
      </c>
      <c r="M127" s="7">
        <f>RANK(H127,$H$3:$H$1002,0)+COUNTIF($H$3:H127,H127)-1</f>
        <v>124</v>
      </c>
    </row>
    <row r="128" spans="1:13" x14ac:dyDescent="0.35">
      <c r="A128" s="7" t="s">
        <v>307</v>
      </c>
      <c r="B128" s="7" t="s">
        <v>308</v>
      </c>
      <c r="C128" s="8" t="s">
        <v>56</v>
      </c>
      <c r="D128" s="8" t="s">
        <v>63</v>
      </c>
      <c r="E128" s="8">
        <v>56.5</v>
      </c>
      <c r="F128" s="8">
        <v>4</v>
      </c>
      <c r="G128" s="8">
        <v>39</v>
      </c>
      <c r="H128" s="7">
        <f t="shared" si="3"/>
        <v>44.6</v>
      </c>
      <c r="I128" s="7" t="str">
        <f t="shared" si="4"/>
        <v>FAIL</v>
      </c>
      <c r="J128" s="7" t="str">
        <f t="shared" si="5"/>
        <v>High Risk</v>
      </c>
      <c r="L128" s="7">
        <f>IF(J128="High Risk",COUNTIF($J$3:J128,"High Risk"),"")</f>
        <v>25</v>
      </c>
      <c r="M128" s="7">
        <f>RANK(H128,$H$3:$H$1002,0)+COUNTIF($H$3:H128,H128)-1</f>
        <v>856</v>
      </c>
    </row>
    <row r="129" spans="1:13" x14ac:dyDescent="0.35">
      <c r="A129" s="7" t="s">
        <v>309</v>
      </c>
      <c r="B129" s="7" t="s">
        <v>310</v>
      </c>
      <c r="C129" s="8" t="s">
        <v>62</v>
      </c>
      <c r="D129" s="8" t="s">
        <v>57</v>
      </c>
      <c r="E129" s="8">
        <v>64.7</v>
      </c>
      <c r="F129" s="8">
        <v>1.7</v>
      </c>
      <c r="G129" s="8">
        <v>47</v>
      </c>
      <c r="H129" s="7">
        <f t="shared" si="3"/>
        <v>43.3</v>
      </c>
      <c r="I129" s="7" t="str">
        <f t="shared" si="4"/>
        <v>FAIL</v>
      </c>
      <c r="J129" s="7" t="str">
        <f t="shared" si="5"/>
        <v>High Risk</v>
      </c>
      <c r="L129" s="7">
        <f>IF(J129="High Risk",COUNTIF($J$3:J129,"High Risk"),"")</f>
        <v>26</v>
      </c>
      <c r="M129" s="7">
        <f>RANK(H129,$H$3:$H$1002,0)+COUNTIF($H$3:H129,H129)-1</f>
        <v>869</v>
      </c>
    </row>
    <row r="130" spans="1:13" x14ac:dyDescent="0.35">
      <c r="A130" s="7" t="s">
        <v>311</v>
      </c>
      <c r="B130" s="7" t="s">
        <v>312</v>
      </c>
      <c r="C130" s="8" t="s">
        <v>62</v>
      </c>
      <c r="D130" s="8" t="s">
        <v>75</v>
      </c>
      <c r="E130" s="8">
        <v>85.6</v>
      </c>
      <c r="F130" s="8">
        <v>3.4</v>
      </c>
      <c r="G130" s="8">
        <v>44</v>
      </c>
      <c r="H130" s="7">
        <f t="shared" si="3"/>
        <v>53.5</v>
      </c>
      <c r="I130" s="7" t="str">
        <f t="shared" si="4"/>
        <v>PASS</v>
      </c>
      <c r="J130" s="7" t="str">
        <f t="shared" si="5"/>
        <v>Medium Risk</v>
      </c>
      <c r="L130" s="7" t="str">
        <f>IF(J130="High Risk",COUNTIF($J$3:J130,"High Risk"),"")</f>
        <v/>
      </c>
      <c r="M130" s="7">
        <f>RANK(H130,$H$3:$H$1002,0)+COUNTIF($H$3:H130,H130)-1</f>
        <v>746</v>
      </c>
    </row>
    <row r="131" spans="1:13" x14ac:dyDescent="0.35">
      <c r="A131" s="7" t="s">
        <v>313</v>
      </c>
      <c r="B131" s="7" t="s">
        <v>314</v>
      </c>
      <c r="C131" s="8" t="s">
        <v>62</v>
      </c>
      <c r="D131" s="8" t="s">
        <v>63</v>
      </c>
      <c r="E131" s="8">
        <v>87.2</v>
      </c>
      <c r="F131" s="8">
        <v>10.7</v>
      </c>
      <c r="G131" s="8">
        <v>76</v>
      </c>
      <c r="H131" s="7">
        <f t="shared" ref="H131:H194" si="6">ROUND(0.4*G131+0.3*E131+0.3*MIN(F131/10,1)*100,1)</f>
        <v>86.6</v>
      </c>
      <c r="I131" s="7" t="str">
        <f t="shared" ref="I131:I194" si="7">IF(H131&gt;=50,"PASS","FAIL")</f>
        <v>PASS</v>
      </c>
      <c r="J131" s="7" t="str">
        <f t="shared" ref="J131:J194" si="8">IF(H131&lt;50,"High Risk",IF(H131&lt;65,"Medium Risk","Low Risk"))</f>
        <v>Low Risk</v>
      </c>
      <c r="L131" s="7" t="str">
        <f>IF(J131="High Risk",COUNTIF($J$3:J131,"High Risk"),"")</f>
        <v/>
      </c>
      <c r="M131" s="7">
        <f>RANK(H131,$H$3:$H$1002,0)+COUNTIF($H$3:H131,H131)-1</f>
        <v>144</v>
      </c>
    </row>
    <row r="132" spans="1:13" x14ac:dyDescent="0.35">
      <c r="A132" s="7" t="s">
        <v>315</v>
      </c>
      <c r="B132" s="7" t="s">
        <v>316</v>
      </c>
      <c r="C132" s="8" t="s">
        <v>62</v>
      </c>
      <c r="D132" s="8" t="s">
        <v>68</v>
      </c>
      <c r="E132" s="8">
        <v>60.9</v>
      </c>
      <c r="F132" s="8">
        <v>9.6999999999999993</v>
      </c>
      <c r="G132" s="8">
        <v>66</v>
      </c>
      <c r="H132" s="7">
        <f t="shared" si="6"/>
        <v>73.8</v>
      </c>
      <c r="I132" s="7" t="str">
        <f t="shared" si="7"/>
        <v>PASS</v>
      </c>
      <c r="J132" s="7" t="str">
        <f t="shared" si="8"/>
        <v>Low Risk</v>
      </c>
      <c r="L132" s="7" t="str">
        <f>IF(J132="High Risk",COUNTIF($J$3:J132,"High Risk"),"")</f>
        <v/>
      </c>
      <c r="M132" s="7">
        <f>RANK(H132,$H$3:$H$1002,0)+COUNTIF($H$3:H132,H132)-1</f>
        <v>343</v>
      </c>
    </row>
    <row r="133" spans="1:13" x14ac:dyDescent="0.35">
      <c r="A133" s="7" t="s">
        <v>317</v>
      </c>
      <c r="B133" s="7" t="s">
        <v>318</v>
      </c>
      <c r="C133" s="8" t="s">
        <v>62</v>
      </c>
      <c r="D133" s="8" t="s">
        <v>57</v>
      </c>
      <c r="E133" s="8">
        <v>73.099999999999994</v>
      </c>
      <c r="F133" s="8">
        <v>7.1</v>
      </c>
      <c r="G133" s="8">
        <v>73</v>
      </c>
      <c r="H133" s="7">
        <f t="shared" si="6"/>
        <v>72.400000000000006</v>
      </c>
      <c r="I133" s="7" t="str">
        <f t="shared" si="7"/>
        <v>PASS</v>
      </c>
      <c r="J133" s="7" t="str">
        <f t="shared" si="8"/>
        <v>Low Risk</v>
      </c>
      <c r="L133" s="7" t="str">
        <f>IF(J133="High Risk",COUNTIF($J$3:J133,"High Risk"),"")</f>
        <v/>
      </c>
      <c r="M133" s="7">
        <f>RANK(H133,$H$3:$H$1002,0)+COUNTIF($H$3:H133,H133)-1</f>
        <v>373</v>
      </c>
    </row>
    <row r="134" spans="1:13" x14ac:dyDescent="0.35">
      <c r="A134" s="7" t="s">
        <v>319</v>
      </c>
      <c r="B134" s="7" t="s">
        <v>320</v>
      </c>
      <c r="C134" s="8" t="s">
        <v>56</v>
      </c>
      <c r="D134" s="8" t="s">
        <v>68</v>
      </c>
      <c r="E134" s="8">
        <v>61.7</v>
      </c>
      <c r="F134" s="8">
        <v>2.5</v>
      </c>
      <c r="G134" s="8">
        <v>61</v>
      </c>
      <c r="H134" s="7">
        <f t="shared" si="6"/>
        <v>50.4</v>
      </c>
      <c r="I134" s="7" t="str">
        <f t="shared" si="7"/>
        <v>PASS</v>
      </c>
      <c r="J134" s="7" t="str">
        <f t="shared" si="8"/>
        <v>Medium Risk</v>
      </c>
      <c r="L134" s="7" t="str">
        <f>IF(J134="High Risk",COUNTIF($J$3:J134,"High Risk"),"")</f>
        <v/>
      </c>
      <c r="M134" s="7">
        <f>RANK(H134,$H$3:$H$1002,0)+COUNTIF($H$3:H134,H134)-1</f>
        <v>796</v>
      </c>
    </row>
    <row r="135" spans="1:13" x14ac:dyDescent="0.35">
      <c r="A135" s="7" t="s">
        <v>321</v>
      </c>
      <c r="B135" s="7" t="s">
        <v>322</v>
      </c>
      <c r="C135" s="8" t="s">
        <v>56</v>
      </c>
      <c r="D135" s="8" t="s">
        <v>75</v>
      </c>
      <c r="E135" s="8">
        <v>69.900000000000006</v>
      </c>
      <c r="F135" s="8">
        <v>7.5</v>
      </c>
      <c r="G135" s="8">
        <v>71</v>
      </c>
      <c r="H135" s="7">
        <f t="shared" si="6"/>
        <v>71.900000000000006</v>
      </c>
      <c r="I135" s="7" t="str">
        <f t="shared" si="7"/>
        <v>PASS</v>
      </c>
      <c r="J135" s="7" t="str">
        <f t="shared" si="8"/>
        <v>Low Risk</v>
      </c>
      <c r="L135" s="7" t="str">
        <f>IF(J135="High Risk",COUNTIF($J$3:J135,"High Risk"),"")</f>
        <v/>
      </c>
      <c r="M135" s="7">
        <f>RANK(H135,$H$3:$H$1002,0)+COUNTIF($H$3:H135,H135)-1</f>
        <v>387</v>
      </c>
    </row>
    <row r="136" spans="1:13" x14ac:dyDescent="0.35">
      <c r="A136" s="7" t="s">
        <v>323</v>
      </c>
      <c r="B136" s="7" t="s">
        <v>324</v>
      </c>
      <c r="C136" s="8" t="s">
        <v>62</v>
      </c>
      <c r="D136" s="8" t="s">
        <v>68</v>
      </c>
      <c r="E136" s="8">
        <v>75.2</v>
      </c>
      <c r="F136" s="8">
        <v>7.9</v>
      </c>
      <c r="G136" s="8">
        <v>63</v>
      </c>
      <c r="H136" s="7">
        <f t="shared" si="6"/>
        <v>71.5</v>
      </c>
      <c r="I136" s="7" t="str">
        <f t="shared" si="7"/>
        <v>PASS</v>
      </c>
      <c r="J136" s="7" t="str">
        <f t="shared" si="8"/>
        <v>Low Risk</v>
      </c>
      <c r="L136" s="7" t="str">
        <f>IF(J136="High Risk",COUNTIF($J$3:J136,"High Risk"),"")</f>
        <v/>
      </c>
      <c r="M136" s="7">
        <f>RANK(H136,$H$3:$H$1002,0)+COUNTIF($H$3:H136,H136)-1</f>
        <v>397</v>
      </c>
    </row>
    <row r="137" spans="1:13" x14ac:dyDescent="0.35">
      <c r="A137" s="7" t="s">
        <v>325</v>
      </c>
      <c r="B137" s="7" t="s">
        <v>326</v>
      </c>
      <c r="C137" s="8" t="s">
        <v>62</v>
      </c>
      <c r="D137" s="8" t="s">
        <v>75</v>
      </c>
      <c r="E137" s="8">
        <v>100</v>
      </c>
      <c r="F137" s="8">
        <v>13.8</v>
      </c>
      <c r="G137" s="8">
        <v>100</v>
      </c>
      <c r="H137" s="7">
        <f t="shared" si="6"/>
        <v>100</v>
      </c>
      <c r="I137" s="7" t="str">
        <f t="shared" si="7"/>
        <v>PASS</v>
      </c>
      <c r="J137" s="7" t="str">
        <f t="shared" si="8"/>
        <v>Low Risk</v>
      </c>
      <c r="L137" s="7" t="str">
        <f>IF(J137="High Risk",COUNTIF($J$3:J137,"High Risk"),"")</f>
        <v/>
      </c>
      <c r="M137" s="7">
        <f>RANK(H137,$H$3:$H$1002,0)+COUNTIF($H$3:H137,H137)-1</f>
        <v>2</v>
      </c>
    </row>
    <row r="138" spans="1:13" x14ac:dyDescent="0.35">
      <c r="A138" s="7" t="s">
        <v>327</v>
      </c>
      <c r="B138" s="7" t="s">
        <v>328</v>
      </c>
      <c r="C138" s="8" t="s">
        <v>62</v>
      </c>
      <c r="D138" s="8" t="s">
        <v>63</v>
      </c>
      <c r="E138" s="8">
        <v>92</v>
      </c>
      <c r="F138" s="8">
        <v>8</v>
      </c>
      <c r="G138" s="8">
        <v>81</v>
      </c>
      <c r="H138" s="7">
        <f t="shared" si="6"/>
        <v>84</v>
      </c>
      <c r="I138" s="7" t="str">
        <f t="shared" si="7"/>
        <v>PASS</v>
      </c>
      <c r="J138" s="7" t="str">
        <f t="shared" si="8"/>
        <v>Low Risk</v>
      </c>
      <c r="L138" s="7" t="str">
        <f>IF(J138="High Risk",COUNTIF($J$3:J138,"High Risk"),"")</f>
        <v/>
      </c>
      <c r="M138" s="7">
        <f>RANK(H138,$H$3:$H$1002,0)+COUNTIF($H$3:H138,H138)-1</f>
        <v>184</v>
      </c>
    </row>
    <row r="139" spans="1:13" x14ac:dyDescent="0.35">
      <c r="A139" s="7" t="s">
        <v>329</v>
      </c>
      <c r="B139" s="7" t="s">
        <v>170</v>
      </c>
      <c r="C139" s="8" t="s">
        <v>62</v>
      </c>
      <c r="D139" s="8" t="s">
        <v>63</v>
      </c>
      <c r="E139" s="8">
        <v>43.4</v>
      </c>
      <c r="F139" s="8">
        <v>2.8</v>
      </c>
      <c r="G139" s="8">
        <v>40</v>
      </c>
      <c r="H139" s="7">
        <f t="shared" si="6"/>
        <v>37.4</v>
      </c>
      <c r="I139" s="7" t="str">
        <f t="shared" si="7"/>
        <v>FAIL</v>
      </c>
      <c r="J139" s="7" t="str">
        <f t="shared" si="8"/>
        <v>High Risk</v>
      </c>
      <c r="L139" s="7">
        <f>IF(J139="High Risk",COUNTIF($J$3:J139,"High Risk"),"")</f>
        <v>27</v>
      </c>
      <c r="M139" s="7">
        <f>RANK(H139,$H$3:$H$1002,0)+COUNTIF($H$3:H139,H139)-1</f>
        <v>928</v>
      </c>
    </row>
    <row r="140" spans="1:13" x14ac:dyDescent="0.35">
      <c r="A140" s="7" t="s">
        <v>330</v>
      </c>
      <c r="B140" s="7" t="s">
        <v>206</v>
      </c>
      <c r="C140" s="8" t="s">
        <v>56</v>
      </c>
      <c r="D140" s="8" t="s">
        <v>63</v>
      </c>
      <c r="E140" s="8">
        <v>85</v>
      </c>
      <c r="F140" s="8">
        <v>6.1</v>
      </c>
      <c r="G140" s="8">
        <v>71</v>
      </c>
      <c r="H140" s="7">
        <f t="shared" si="6"/>
        <v>72.2</v>
      </c>
      <c r="I140" s="7" t="str">
        <f t="shared" si="7"/>
        <v>PASS</v>
      </c>
      <c r="J140" s="7" t="str">
        <f t="shared" si="8"/>
        <v>Low Risk</v>
      </c>
      <c r="L140" s="7" t="str">
        <f>IF(J140="High Risk",COUNTIF($J$3:J140,"High Risk"),"")</f>
        <v/>
      </c>
      <c r="M140" s="7">
        <f>RANK(H140,$H$3:$H$1002,0)+COUNTIF($H$3:H140,H140)-1</f>
        <v>377</v>
      </c>
    </row>
    <row r="141" spans="1:13" x14ac:dyDescent="0.35">
      <c r="A141" s="7" t="s">
        <v>331</v>
      </c>
      <c r="B141" s="7" t="s">
        <v>332</v>
      </c>
      <c r="C141" s="8" t="s">
        <v>62</v>
      </c>
      <c r="D141" s="8" t="s">
        <v>75</v>
      </c>
      <c r="E141" s="8">
        <v>70.5</v>
      </c>
      <c r="F141" s="8">
        <v>6.3</v>
      </c>
      <c r="G141" s="8">
        <v>56</v>
      </c>
      <c r="H141" s="7">
        <f t="shared" si="6"/>
        <v>62.5</v>
      </c>
      <c r="I141" s="7" t="str">
        <f t="shared" si="7"/>
        <v>PASS</v>
      </c>
      <c r="J141" s="7" t="str">
        <f t="shared" si="8"/>
        <v>Medium Risk</v>
      </c>
      <c r="L141" s="7" t="str">
        <f>IF(J141="High Risk",COUNTIF($J$3:J141,"High Risk"),"")</f>
        <v/>
      </c>
      <c r="M141" s="7">
        <f>RANK(H141,$H$3:$H$1002,0)+COUNTIF($H$3:H141,H141)-1</f>
        <v>570</v>
      </c>
    </row>
    <row r="142" spans="1:13" x14ac:dyDescent="0.35">
      <c r="A142" s="7" t="s">
        <v>333</v>
      </c>
      <c r="B142" s="7" t="s">
        <v>334</v>
      </c>
      <c r="C142" s="8" t="s">
        <v>62</v>
      </c>
      <c r="D142" s="8" t="s">
        <v>57</v>
      </c>
      <c r="E142" s="8">
        <v>58.7</v>
      </c>
      <c r="F142" s="8">
        <v>0.6</v>
      </c>
      <c r="G142" s="8">
        <v>63</v>
      </c>
      <c r="H142" s="7">
        <f t="shared" si="6"/>
        <v>44.6</v>
      </c>
      <c r="I142" s="7" t="str">
        <f t="shared" si="7"/>
        <v>FAIL</v>
      </c>
      <c r="J142" s="7" t="str">
        <f t="shared" si="8"/>
        <v>High Risk</v>
      </c>
      <c r="L142" s="7">
        <f>IF(J142="High Risk",COUNTIF($J$3:J142,"High Risk"),"")</f>
        <v>28</v>
      </c>
      <c r="M142" s="7">
        <f>RANK(H142,$H$3:$H$1002,0)+COUNTIF($H$3:H142,H142)-1</f>
        <v>857</v>
      </c>
    </row>
    <row r="143" spans="1:13" x14ac:dyDescent="0.35">
      <c r="A143" s="7" t="s">
        <v>335</v>
      </c>
      <c r="B143" s="7" t="s">
        <v>336</v>
      </c>
      <c r="C143" s="8" t="s">
        <v>62</v>
      </c>
      <c r="D143" s="8" t="s">
        <v>63</v>
      </c>
      <c r="E143" s="8">
        <v>83.8</v>
      </c>
      <c r="F143" s="8">
        <v>10</v>
      </c>
      <c r="G143" s="8">
        <v>73</v>
      </c>
      <c r="H143" s="7">
        <f t="shared" si="6"/>
        <v>84.3</v>
      </c>
      <c r="I143" s="7" t="str">
        <f t="shared" si="7"/>
        <v>PASS</v>
      </c>
      <c r="J143" s="7" t="str">
        <f t="shared" si="8"/>
        <v>Low Risk</v>
      </c>
      <c r="L143" s="7" t="str">
        <f>IF(J143="High Risk",COUNTIF($J$3:J143,"High Risk"),"")</f>
        <v/>
      </c>
      <c r="M143" s="7">
        <f>RANK(H143,$H$3:$H$1002,0)+COUNTIF($H$3:H143,H143)-1</f>
        <v>175</v>
      </c>
    </row>
    <row r="144" spans="1:13" x14ac:dyDescent="0.35">
      <c r="A144" s="7" t="s">
        <v>337</v>
      </c>
      <c r="B144" s="7" t="s">
        <v>338</v>
      </c>
      <c r="C144" s="8" t="s">
        <v>62</v>
      </c>
      <c r="D144" s="8" t="s">
        <v>75</v>
      </c>
      <c r="E144" s="8">
        <v>47.4</v>
      </c>
      <c r="F144" s="8">
        <v>0.8</v>
      </c>
      <c r="G144" s="8">
        <v>28</v>
      </c>
      <c r="H144" s="7">
        <f t="shared" si="6"/>
        <v>27.8</v>
      </c>
      <c r="I144" s="7" t="str">
        <f t="shared" si="7"/>
        <v>FAIL</v>
      </c>
      <c r="J144" s="7" t="str">
        <f t="shared" si="8"/>
        <v>High Risk</v>
      </c>
      <c r="L144" s="7">
        <f>IF(J144="High Risk",COUNTIF($J$3:J144,"High Risk"),"")</f>
        <v>29</v>
      </c>
      <c r="M144" s="7">
        <f>RANK(H144,$H$3:$H$1002,0)+COUNTIF($H$3:H144,H144)-1</f>
        <v>973</v>
      </c>
    </row>
    <row r="145" spans="1:13" x14ac:dyDescent="0.35">
      <c r="A145" s="7" t="s">
        <v>339</v>
      </c>
      <c r="B145" s="7" t="s">
        <v>340</v>
      </c>
      <c r="C145" s="8" t="s">
        <v>62</v>
      </c>
      <c r="D145" s="8" t="s">
        <v>68</v>
      </c>
      <c r="E145" s="8">
        <v>71.7</v>
      </c>
      <c r="F145" s="8">
        <v>4.7</v>
      </c>
      <c r="G145" s="8">
        <v>59</v>
      </c>
      <c r="H145" s="7">
        <f t="shared" si="6"/>
        <v>59.2</v>
      </c>
      <c r="I145" s="7" t="str">
        <f t="shared" si="7"/>
        <v>PASS</v>
      </c>
      <c r="J145" s="7" t="str">
        <f t="shared" si="8"/>
        <v>Medium Risk</v>
      </c>
      <c r="L145" s="7" t="str">
        <f>IF(J145="High Risk",COUNTIF($J$3:J145,"High Risk"),"")</f>
        <v/>
      </c>
      <c r="M145" s="7">
        <f>RANK(H145,$H$3:$H$1002,0)+COUNTIF($H$3:H145,H145)-1</f>
        <v>638</v>
      </c>
    </row>
    <row r="146" spans="1:13" x14ac:dyDescent="0.35">
      <c r="A146" s="7" t="s">
        <v>341</v>
      </c>
      <c r="B146" s="7" t="s">
        <v>255</v>
      </c>
      <c r="C146" s="8" t="s">
        <v>62</v>
      </c>
      <c r="D146" s="8" t="s">
        <v>57</v>
      </c>
      <c r="E146" s="8">
        <v>33.1</v>
      </c>
      <c r="F146" s="8">
        <v>3.3</v>
      </c>
      <c r="G146" s="8">
        <v>41</v>
      </c>
      <c r="H146" s="7">
        <f t="shared" si="6"/>
        <v>36.200000000000003</v>
      </c>
      <c r="I146" s="7" t="str">
        <f t="shared" si="7"/>
        <v>FAIL</v>
      </c>
      <c r="J146" s="7" t="str">
        <f t="shared" si="8"/>
        <v>High Risk</v>
      </c>
      <c r="L146" s="7">
        <f>IF(J146="High Risk",COUNTIF($J$3:J146,"High Risk"),"")</f>
        <v>30</v>
      </c>
      <c r="M146" s="7">
        <f>RANK(H146,$H$3:$H$1002,0)+COUNTIF($H$3:H146,H146)-1</f>
        <v>937</v>
      </c>
    </row>
    <row r="147" spans="1:13" x14ac:dyDescent="0.35">
      <c r="A147" s="7" t="s">
        <v>342</v>
      </c>
      <c r="B147" s="7" t="s">
        <v>343</v>
      </c>
      <c r="C147" s="8" t="s">
        <v>56</v>
      </c>
      <c r="D147" s="8" t="s">
        <v>57</v>
      </c>
      <c r="E147" s="8">
        <v>75.2</v>
      </c>
      <c r="F147" s="8">
        <v>4.7</v>
      </c>
      <c r="G147" s="8">
        <v>68</v>
      </c>
      <c r="H147" s="7">
        <f t="shared" si="6"/>
        <v>63.9</v>
      </c>
      <c r="I147" s="7" t="str">
        <f t="shared" si="7"/>
        <v>PASS</v>
      </c>
      <c r="J147" s="7" t="str">
        <f t="shared" si="8"/>
        <v>Medium Risk</v>
      </c>
      <c r="L147" s="7" t="str">
        <f>IF(J147="High Risk",COUNTIF($J$3:J147,"High Risk"),"")</f>
        <v/>
      </c>
      <c r="M147" s="7">
        <f>RANK(H147,$H$3:$H$1002,0)+COUNTIF($H$3:H147,H147)-1</f>
        <v>548</v>
      </c>
    </row>
    <row r="148" spans="1:13" x14ac:dyDescent="0.35">
      <c r="A148" s="7" t="s">
        <v>344</v>
      </c>
      <c r="B148" s="7" t="s">
        <v>345</v>
      </c>
      <c r="C148" s="8" t="s">
        <v>56</v>
      </c>
      <c r="D148" s="8" t="s">
        <v>57</v>
      </c>
      <c r="E148" s="8">
        <v>75.599999999999994</v>
      </c>
      <c r="F148" s="8">
        <v>6.8</v>
      </c>
      <c r="G148" s="8">
        <v>63</v>
      </c>
      <c r="H148" s="7">
        <f t="shared" si="6"/>
        <v>68.3</v>
      </c>
      <c r="I148" s="7" t="str">
        <f t="shared" si="7"/>
        <v>PASS</v>
      </c>
      <c r="J148" s="7" t="str">
        <f t="shared" si="8"/>
        <v>Low Risk</v>
      </c>
      <c r="L148" s="7" t="str">
        <f>IF(J148="High Risk",COUNTIF($J$3:J148,"High Risk"),"")</f>
        <v/>
      </c>
      <c r="M148" s="7">
        <f>RANK(H148,$H$3:$H$1002,0)+COUNTIF($H$3:H148,H148)-1</f>
        <v>469</v>
      </c>
    </row>
    <row r="149" spans="1:13" x14ac:dyDescent="0.35">
      <c r="A149" s="7" t="s">
        <v>346</v>
      </c>
      <c r="B149" s="7" t="s">
        <v>347</v>
      </c>
      <c r="C149" s="8" t="s">
        <v>56</v>
      </c>
      <c r="D149" s="8" t="s">
        <v>68</v>
      </c>
      <c r="E149" s="8">
        <v>100</v>
      </c>
      <c r="F149" s="8">
        <v>11</v>
      </c>
      <c r="G149" s="8">
        <v>93</v>
      </c>
      <c r="H149" s="7">
        <f t="shared" si="6"/>
        <v>97.2</v>
      </c>
      <c r="I149" s="7" t="str">
        <f t="shared" si="7"/>
        <v>PASS</v>
      </c>
      <c r="J149" s="7" t="str">
        <f t="shared" si="8"/>
        <v>Low Risk</v>
      </c>
      <c r="L149" s="7" t="str">
        <f>IF(J149="High Risk",COUNTIF($J$3:J149,"High Risk"),"")</f>
        <v/>
      </c>
      <c r="M149" s="7">
        <f>RANK(H149,$H$3:$H$1002,0)+COUNTIF($H$3:H149,H149)-1</f>
        <v>33</v>
      </c>
    </row>
    <row r="150" spans="1:13" x14ac:dyDescent="0.35">
      <c r="A150" s="7" t="s">
        <v>348</v>
      </c>
      <c r="B150" s="7" t="s">
        <v>349</v>
      </c>
      <c r="C150" s="8" t="s">
        <v>56</v>
      </c>
      <c r="D150" s="8" t="s">
        <v>57</v>
      </c>
      <c r="E150" s="8">
        <v>78.400000000000006</v>
      </c>
      <c r="F150" s="8">
        <v>5.0999999999999996</v>
      </c>
      <c r="G150" s="8">
        <v>66</v>
      </c>
      <c r="H150" s="7">
        <f t="shared" si="6"/>
        <v>65.2</v>
      </c>
      <c r="I150" s="7" t="str">
        <f t="shared" si="7"/>
        <v>PASS</v>
      </c>
      <c r="J150" s="7" t="str">
        <f t="shared" si="8"/>
        <v>Low Risk</v>
      </c>
      <c r="L150" s="7" t="str">
        <f>IF(J150="High Risk",COUNTIF($J$3:J150,"High Risk"),"")</f>
        <v/>
      </c>
      <c r="M150" s="7">
        <f>RANK(H150,$H$3:$H$1002,0)+COUNTIF($H$3:H150,H150)-1</f>
        <v>527</v>
      </c>
    </row>
    <row r="151" spans="1:13" x14ac:dyDescent="0.35">
      <c r="A151" s="7" t="s">
        <v>350</v>
      </c>
      <c r="B151" s="7" t="s">
        <v>351</v>
      </c>
      <c r="C151" s="8" t="s">
        <v>56</v>
      </c>
      <c r="D151" s="8" t="s">
        <v>63</v>
      </c>
      <c r="E151" s="8">
        <v>67.5</v>
      </c>
      <c r="F151" s="8">
        <v>0.5</v>
      </c>
      <c r="G151" s="8">
        <v>57</v>
      </c>
      <c r="H151" s="7">
        <f t="shared" si="6"/>
        <v>44.6</v>
      </c>
      <c r="I151" s="7" t="str">
        <f t="shared" si="7"/>
        <v>FAIL</v>
      </c>
      <c r="J151" s="7" t="str">
        <f t="shared" si="8"/>
        <v>High Risk</v>
      </c>
      <c r="L151" s="7">
        <f>IF(J151="High Risk",COUNTIF($J$3:J151,"High Risk"),"")</f>
        <v>31</v>
      </c>
      <c r="M151" s="7">
        <f>RANK(H151,$H$3:$H$1002,0)+COUNTIF($H$3:H151,H151)-1</f>
        <v>858</v>
      </c>
    </row>
    <row r="152" spans="1:13" x14ac:dyDescent="0.35">
      <c r="A152" s="7" t="s">
        <v>352</v>
      </c>
      <c r="B152" s="7" t="s">
        <v>353</v>
      </c>
      <c r="C152" s="8" t="s">
        <v>56</v>
      </c>
      <c r="D152" s="8" t="s">
        <v>68</v>
      </c>
      <c r="E152" s="8">
        <v>62.4</v>
      </c>
      <c r="F152" s="8">
        <v>4.5999999999999996</v>
      </c>
      <c r="G152" s="8">
        <v>57</v>
      </c>
      <c r="H152" s="7">
        <f t="shared" si="6"/>
        <v>55.3</v>
      </c>
      <c r="I152" s="7" t="str">
        <f t="shared" si="7"/>
        <v>PASS</v>
      </c>
      <c r="J152" s="7" t="str">
        <f t="shared" si="8"/>
        <v>Medium Risk</v>
      </c>
      <c r="L152" s="7" t="str">
        <f>IF(J152="High Risk",COUNTIF($J$3:J152,"High Risk"),"")</f>
        <v/>
      </c>
      <c r="M152" s="7">
        <f>RANK(H152,$H$3:$H$1002,0)+COUNTIF($H$3:H152,H152)-1</f>
        <v>706</v>
      </c>
    </row>
    <row r="153" spans="1:13" x14ac:dyDescent="0.35">
      <c r="A153" s="7" t="s">
        <v>354</v>
      </c>
      <c r="B153" s="7" t="s">
        <v>355</v>
      </c>
      <c r="C153" s="8" t="s">
        <v>62</v>
      </c>
      <c r="D153" s="8" t="s">
        <v>75</v>
      </c>
      <c r="E153" s="8">
        <v>100</v>
      </c>
      <c r="F153" s="8">
        <v>5.5</v>
      </c>
      <c r="G153" s="8">
        <v>89</v>
      </c>
      <c r="H153" s="7">
        <f t="shared" si="6"/>
        <v>82.1</v>
      </c>
      <c r="I153" s="7" t="str">
        <f t="shared" si="7"/>
        <v>PASS</v>
      </c>
      <c r="J153" s="7" t="str">
        <f t="shared" si="8"/>
        <v>Low Risk</v>
      </c>
      <c r="L153" s="7" t="str">
        <f>IF(J153="High Risk",COUNTIF($J$3:J153,"High Risk"),"")</f>
        <v/>
      </c>
      <c r="M153" s="7">
        <f>RANK(H153,$H$3:$H$1002,0)+COUNTIF($H$3:H153,H153)-1</f>
        <v>212</v>
      </c>
    </row>
    <row r="154" spans="1:13" x14ac:dyDescent="0.35">
      <c r="A154" s="7" t="s">
        <v>356</v>
      </c>
      <c r="B154" s="7" t="s">
        <v>357</v>
      </c>
      <c r="C154" s="8" t="s">
        <v>62</v>
      </c>
      <c r="D154" s="8" t="s">
        <v>57</v>
      </c>
      <c r="E154" s="8">
        <v>82.9</v>
      </c>
      <c r="F154" s="8">
        <v>3.9</v>
      </c>
      <c r="G154" s="8">
        <v>60</v>
      </c>
      <c r="H154" s="7">
        <f t="shared" si="6"/>
        <v>60.6</v>
      </c>
      <c r="I154" s="7" t="str">
        <f t="shared" si="7"/>
        <v>PASS</v>
      </c>
      <c r="J154" s="7" t="str">
        <f t="shared" si="8"/>
        <v>Medium Risk</v>
      </c>
      <c r="L154" s="7" t="str">
        <f>IF(J154="High Risk",COUNTIF($J$3:J154,"High Risk"),"")</f>
        <v/>
      </c>
      <c r="M154" s="7">
        <f>RANK(H154,$H$3:$H$1002,0)+COUNTIF($H$3:H154,H154)-1</f>
        <v>607</v>
      </c>
    </row>
    <row r="155" spans="1:13" x14ac:dyDescent="0.35">
      <c r="A155" s="7" t="s">
        <v>358</v>
      </c>
      <c r="B155" s="7" t="s">
        <v>359</v>
      </c>
      <c r="C155" s="8" t="s">
        <v>62</v>
      </c>
      <c r="D155" s="8" t="s">
        <v>63</v>
      </c>
      <c r="E155" s="8">
        <v>100</v>
      </c>
      <c r="F155" s="8">
        <v>10.7</v>
      </c>
      <c r="G155" s="8">
        <v>76</v>
      </c>
      <c r="H155" s="7">
        <f t="shared" si="6"/>
        <v>90.4</v>
      </c>
      <c r="I155" s="7" t="str">
        <f t="shared" si="7"/>
        <v>PASS</v>
      </c>
      <c r="J155" s="7" t="str">
        <f t="shared" si="8"/>
        <v>Low Risk</v>
      </c>
      <c r="L155" s="7" t="str">
        <f>IF(J155="High Risk",COUNTIF($J$3:J155,"High Risk"),"")</f>
        <v/>
      </c>
      <c r="M155" s="7">
        <f>RANK(H155,$H$3:$H$1002,0)+COUNTIF($H$3:H155,H155)-1</f>
        <v>103</v>
      </c>
    </row>
    <row r="156" spans="1:13" x14ac:dyDescent="0.35">
      <c r="A156" s="7" t="s">
        <v>360</v>
      </c>
      <c r="B156" s="7" t="s">
        <v>361</v>
      </c>
      <c r="C156" s="8" t="s">
        <v>56</v>
      </c>
      <c r="D156" s="8" t="s">
        <v>68</v>
      </c>
      <c r="E156" s="8">
        <v>58.6</v>
      </c>
      <c r="F156" s="8">
        <v>0</v>
      </c>
      <c r="G156" s="8">
        <v>48</v>
      </c>
      <c r="H156" s="7">
        <f t="shared" si="6"/>
        <v>36.799999999999997</v>
      </c>
      <c r="I156" s="7" t="str">
        <f t="shared" si="7"/>
        <v>FAIL</v>
      </c>
      <c r="J156" s="7" t="str">
        <f t="shared" si="8"/>
        <v>High Risk</v>
      </c>
      <c r="L156" s="7">
        <f>IF(J156="High Risk",COUNTIF($J$3:J156,"High Risk"),"")</f>
        <v>32</v>
      </c>
      <c r="M156" s="7">
        <f>RANK(H156,$H$3:$H$1002,0)+COUNTIF($H$3:H156,H156)-1</f>
        <v>933</v>
      </c>
    </row>
    <row r="157" spans="1:13" x14ac:dyDescent="0.35">
      <c r="A157" s="7" t="s">
        <v>362</v>
      </c>
      <c r="B157" s="7" t="s">
        <v>269</v>
      </c>
      <c r="C157" s="8" t="s">
        <v>62</v>
      </c>
      <c r="D157" s="8" t="s">
        <v>63</v>
      </c>
      <c r="E157" s="8">
        <v>72.2</v>
      </c>
      <c r="F157" s="8">
        <v>5.6</v>
      </c>
      <c r="G157" s="8">
        <v>58</v>
      </c>
      <c r="H157" s="7">
        <f t="shared" si="6"/>
        <v>61.7</v>
      </c>
      <c r="I157" s="7" t="str">
        <f t="shared" si="7"/>
        <v>PASS</v>
      </c>
      <c r="J157" s="7" t="str">
        <f t="shared" si="8"/>
        <v>Medium Risk</v>
      </c>
      <c r="L157" s="7" t="str">
        <f>IF(J157="High Risk",COUNTIF($J$3:J157,"High Risk"),"")</f>
        <v/>
      </c>
      <c r="M157" s="7">
        <f>RANK(H157,$H$3:$H$1002,0)+COUNTIF($H$3:H157,H157)-1</f>
        <v>589</v>
      </c>
    </row>
    <row r="158" spans="1:13" x14ac:dyDescent="0.35">
      <c r="A158" s="7" t="s">
        <v>363</v>
      </c>
      <c r="B158" s="7" t="s">
        <v>364</v>
      </c>
      <c r="C158" s="8" t="s">
        <v>56</v>
      </c>
      <c r="D158" s="8" t="s">
        <v>57</v>
      </c>
      <c r="E158" s="8">
        <v>58.5</v>
      </c>
      <c r="F158" s="8">
        <v>3.4</v>
      </c>
      <c r="G158" s="8">
        <v>60</v>
      </c>
      <c r="H158" s="7">
        <f t="shared" si="6"/>
        <v>51.8</v>
      </c>
      <c r="I158" s="7" t="str">
        <f t="shared" si="7"/>
        <v>PASS</v>
      </c>
      <c r="J158" s="7" t="str">
        <f t="shared" si="8"/>
        <v>Medium Risk</v>
      </c>
      <c r="L158" s="7" t="str">
        <f>IF(J158="High Risk",COUNTIF($J$3:J158,"High Risk"),"")</f>
        <v/>
      </c>
      <c r="M158" s="7">
        <f>RANK(H158,$H$3:$H$1002,0)+COUNTIF($H$3:H158,H158)-1</f>
        <v>771</v>
      </c>
    </row>
    <row r="159" spans="1:13" x14ac:dyDescent="0.35">
      <c r="A159" s="7" t="s">
        <v>365</v>
      </c>
      <c r="B159" s="7" t="s">
        <v>366</v>
      </c>
      <c r="C159" s="8" t="s">
        <v>62</v>
      </c>
      <c r="D159" s="8" t="s">
        <v>75</v>
      </c>
      <c r="E159" s="8">
        <v>86.4</v>
      </c>
      <c r="F159" s="8">
        <v>6.6</v>
      </c>
      <c r="G159" s="8">
        <v>97</v>
      </c>
      <c r="H159" s="7">
        <f t="shared" si="6"/>
        <v>84.5</v>
      </c>
      <c r="I159" s="7" t="str">
        <f t="shared" si="7"/>
        <v>PASS</v>
      </c>
      <c r="J159" s="7" t="str">
        <f t="shared" si="8"/>
        <v>Low Risk</v>
      </c>
      <c r="L159" s="7" t="str">
        <f>IF(J159="High Risk",COUNTIF($J$3:J159,"High Risk"),"")</f>
        <v/>
      </c>
      <c r="M159" s="7">
        <f>RANK(H159,$H$3:$H$1002,0)+COUNTIF($H$3:H159,H159)-1</f>
        <v>173</v>
      </c>
    </row>
    <row r="160" spans="1:13" x14ac:dyDescent="0.35">
      <c r="A160" s="7" t="s">
        <v>367</v>
      </c>
      <c r="B160" s="7" t="s">
        <v>368</v>
      </c>
      <c r="C160" s="8" t="s">
        <v>56</v>
      </c>
      <c r="D160" s="8" t="s">
        <v>75</v>
      </c>
      <c r="E160" s="8">
        <v>95</v>
      </c>
      <c r="F160" s="8">
        <v>9.5</v>
      </c>
      <c r="G160" s="8">
        <v>86</v>
      </c>
      <c r="H160" s="7">
        <f t="shared" si="6"/>
        <v>91.4</v>
      </c>
      <c r="I160" s="7" t="str">
        <f t="shared" si="7"/>
        <v>PASS</v>
      </c>
      <c r="J160" s="7" t="str">
        <f t="shared" si="8"/>
        <v>Low Risk</v>
      </c>
      <c r="L160" s="7" t="str">
        <f>IF(J160="High Risk",COUNTIF($J$3:J160,"High Risk"),"")</f>
        <v/>
      </c>
      <c r="M160" s="7">
        <f>RANK(H160,$H$3:$H$1002,0)+COUNTIF($H$3:H160,H160)-1</f>
        <v>90</v>
      </c>
    </row>
    <row r="161" spans="1:13" x14ac:dyDescent="0.35">
      <c r="A161" s="7" t="s">
        <v>369</v>
      </c>
      <c r="B161" s="7" t="s">
        <v>370</v>
      </c>
      <c r="C161" s="8" t="s">
        <v>56</v>
      </c>
      <c r="D161" s="8" t="s">
        <v>63</v>
      </c>
      <c r="E161" s="8">
        <v>88.4</v>
      </c>
      <c r="F161" s="8">
        <v>7.8</v>
      </c>
      <c r="G161" s="8">
        <v>81</v>
      </c>
      <c r="H161" s="7">
        <f t="shared" si="6"/>
        <v>82.3</v>
      </c>
      <c r="I161" s="7" t="str">
        <f t="shared" si="7"/>
        <v>PASS</v>
      </c>
      <c r="J161" s="7" t="str">
        <f t="shared" si="8"/>
        <v>Low Risk</v>
      </c>
      <c r="L161" s="7" t="str">
        <f>IF(J161="High Risk",COUNTIF($J$3:J161,"High Risk"),"")</f>
        <v/>
      </c>
      <c r="M161" s="7">
        <f>RANK(H161,$H$3:$H$1002,0)+COUNTIF($H$3:H161,H161)-1</f>
        <v>209</v>
      </c>
    </row>
    <row r="162" spans="1:13" x14ac:dyDescent="0.35">
      <c r="A162" s="7" t="s">
        <v>371</v>
      </c>
      <c r="B162" s="7" t="s">
        <v>372</v>
      </c>
      <c r="C162" s="8" t="s">
        <v>56</v>
      </c>
      <c r="D162" s="8" t="s">
        <v>63</v>
      </c>
      <c r="E162" s="8">
        <v>71.900000000000006</v>
      </c>
      <c r="F162" s="8">
        <v>5.3</v>
      </c>
      <c r="G162" s="8">
        <v>75</v>
      </c>
      <c r="H162" s="7">
        <f t="shared" si="6"/>
        <v>67.5</v>
      </c>
      <c r="I162" s="7" t="str">
        <f t="shared" si="7"/>
        <v>PASS</v>
      </c>
      <c r="J162" s="7" t="str">
        <f t="shared" si="8"/>
        <v>Low Risk</v>
      </c>
      <c r="L162" s="7" t="str">
        <f>IF(J162="High Risk",COUNTIF($J$3:J162,"High Risk"),"")</f>
        <v/>
      </c>
      <c r="M162" s="7">
        <f>RANK(H162,$H$3:$H$1002,0)+COUNTIF($H$3:H162,H162)-1</f>
        <v>486</v>
      </c>
    </row>
    <row r="163" spans="1:13" x14ac:dyDescent="0.35">
      <c r="A163" s="7" t="s">
        <v>373</v>
      </c>
      <c r="B163" s="7" t="s">
        <v>374</v>
      </c>
      <c r="C163" s="8" t="s">
        <v>62</v>
      </c>
      <c r="D163" s="8" t="s">
        <v>57</v>
      </c>
      <c r="E163" s="8">
        <v>97.8</v>
      </c>
      <c r="F163" s="8">
        <v>11</v>
      </c>
      <c r="G163" s="8">
        <v>84</v>
      </c>
      <c r="H163" s="7">
        <f t="shared" si="6"/>
        <v>92.9</v>
      </c>
      <c r="I163" s="7" t="str">
        <f t="shared" si="7"/>
        <v>PASS</v>
      </c>
      <c r="J163" s="7" t="str">
        <f t="shared" si="8"/>
        <v>Low Risk</v>
      </c>
      <c r="L163" s="7" t="str">
        <f>IF(J163="High Risk",COUNTIF($J$3:J163,"High Risk"),"")</f>
        <v/>
      </c>
      <c r="M163" s="7">
        <f>RANK(H163,$H$3:$H$1002,0)+COUNTIF($H$3:H163,H163)-1</f>
        <v>73</v>
      </c>
    </row>
    <row r="164" spans="1:13" x14ac:dyDescent="0.35">
      <c r="A164" s="7" t="s">
        <v>375</v>
      </c>
      <c r="B164" s="7" t="s">
        <v>99</v>
      </c>
      <c r="C164" s="8" t="s">
        <v>56</v>
      </c>
      <c r="D164" s="8" t="s">
        <v>75</v>
      </c>
      <c r="E164" s="8">
        <v>69.400000000000006</v>
      </c>
      <c r="F164" s="8">
        <v>4.9000000000000004</v>
      </c>
      <c r="G164" s="8">
        <v>58</v>
      </c>
      <c r="H164" s="7">
        <f t="shared" si="6"/>
        <v>58.7</v>
      </c>
      <c r="I164" s="7" t="str">
        <f t="shared" si="7"/>
        <v>PASS</v>
      </c>
      <c r="J164" s="7" t="str">
        <f t="shared" si="8"/>
        <v>Medium Risk</v>
      </c>
      <c r="L164" s="7" t="str">
        <f>IF(J164="High Risk",COUNTIF($J$3:J164,"High Risk"),"")</f>
        <v/>
      </c>
      <c r="M164" s="7">
        <f>RANK(H164,$H$3:$H$1002,0)+COUNTIF($H$3:H164,H164)-1</f>
        <v>647</v>
      </c>
    </row>
    <row r="165" spans="1:13" x14ac:dyDescent="0.35">
      <c r="A165" s="7" t="s">
        <v>376</v>
      </c>
      <c r="B165" s="7" t="s">
        <v>377</v>
      </c>
      <c r="C165" s="8" t="s">
        <v>62</v>
      </c>
      <c r="D165" s="8" t="s">
        <v>63</v>
      </c>
      <c r="E165" s="8">
        <v>78.400000000000006</v>
      </c>
      <c r="F165" s="8">
        <v>7.1</v>
      </c>
      <c r="G165" s="8">
        <v>69</v>
      </c>
      <c r="H165" s="7">
        <f t="shared" si="6"/>
        <v>72.400000000000006</v>
      </c>
      <c r="I165" s="7" t="str">
        <f t="shared" si="7"/>
        <v>PASS</v>
      </c>
      <c r="J165" s="7" t="str">
        <f t="shared" si="8"/>
        <v>Low Risk</v>
      </c>
      <c r="L165" s="7" t="str">
        <f>IF(J165="High Risk",COUNTIF($J$3:J165,"High Risk"),"")</f>
        <v/>
      </c>
      <c r="M165" s="7">
        <f>RANK(H165,$H$3:$H$1002,0)+COUNTIF($H$3:H165,H165)-1</f>
        <v>374</v>
      </c>
    </row>
    <row r="166" spans="1:13" x14ac:dyDescent="0.35">
      <c r="A166" s="7" t="s">
        <v>378</v>
      </c>
      <c r="B166" s="7" t="s">
        <v>190</v>
      </c>
      <c r="C166" s="8" t="s">
        <v>56</v>
      </c>
      <c r="D166" s="8" t="s">
        <v>63</v>
      </c>
      <c r="E166" s="8">
        <v>59.6</v>
      </c>
      <c r="F166" s="8">
        <v>2.9</v>
      </c>
      <c r="G166" s="8">
        <v>60</v>
      </c>
      <c r="H166" s="7">
        <f t="shared" si="6"/>
        <v>50.6</v>
      </c>
      <c r="I166" s="7" t="str">
        <f t="shared" si="7"/>
        <v>PASS</v>
      </c>
      <c r="J166" s="7" t="str">
        <f t="shared" si="8"/>
        <v>Medium Risk</v>
      </c>
      <c r="L166" s="7" t="str">
        <f>IF(J166="High Risk",COUNTIF($J$3:J166,"High Risk"),"")</f>
        <v/>
      </c>
      <c r="M166" s="7">
        <f>RANK(H166,$H$3:$H$1002,0)+COUNTIF($H$3:H166,H166)-1</f>
        <v>789</v>
      </c>
    </row>
    <row r="167" spans="1:13" x14ac:dyDescent="0.35">
      <c r="A167" s="7" t="s">
        <v>379</v>
      </c>
      <c r="B167" s="7" t="s">
        <v>166</v>
      </c>
      <c r="C167" s="8" t="s">
        <v>56</v>
      </c>
      <c r="D167" s="8" t="s">
        <v>57</v>
      </c>
      <c r="E167" s="8">
        <v>56.6</v>
      </c>
      <c r="F167" s="8">
        <v>3</v>
      </c>
      <c r="G167" s="8">
        <v>55</v>
      </c>
      <c r="H167" s="7">
        <f t="shared" si="6"/>
        <v>48</v>
      </c>
      <c r="I167" s="7" t="str">
        <f t="shared" si="7"/>
        <v>FAIL</v>
      </c>
      <c r="J167" s="7" t="str">
        <f t="shared" si="8"/>
        <v>High Risk</v>
      </c>
      <c r="L167" s="7">
        <f>IF(J167="High Risk",COUNTIF($J$3:J167,"High Risk"),"")</f>
        <v>33</v>
      </c>
      <c r="M167" s="7">
        <f>RANK(H167,$H$3:$H$1002,0)+COUNTIF($H$3:H167,H167)-1</f>
        <v>824</v>
      </c>
    </row>
    <row r="168" spans="1:13" x14ac:dyDescent="0.35">
      <c r="A168" s="7" t="s">
        <v>380</v>
      </c>
      <c r="B168" s="7" t="s">
        <v>381</v>
      </c>
      <c r="C168" s="8" t="s">
        <v>56</v>
      </c>
      <c r="D168" s="8" t="s">
        <v>57</v>
      </c>
      <c r="E168" s="8">
        <v>100</v>
      </c>
      <c r="F168" s="8">
        <v>8</v>
      </c>
      <c r="G168" s="8">
        <v>63</v>
      </c>
      <c r="H168" s="7">
        <f t="shared" si="6"/>
        <v>79.2</v>
      </c>
      <c r="I168" s="7" t="str">
        <f t="shared" si="7"/>
        <v>PASS</v>
      </c>
      <c r="J168" s="7" t="str">
        <f t="shared" si="8"/>
        <v>Low Risk</v>
      </c>
      <c r="L168" s="7" t="str">
        <f>IF(J168="High Risk",COUNTIF($J$3:J168,"High Risk"),"")</f>
        <v/>
      </c>
      <c r="M168" s="7">
        <f>RANK(H168,$H$3:$H$1002,0)+COUNTIF($H$3:H168,H168)-1</f>
        <v>259</v>
      </c>
    </row>
    <row r="169" spans="1:13" x14ac:dyDescent="0.35">
      <c r="A169" s="7" t="s">
        <v>382</v>
      </c>
      <c r="B169" s="7" t="s">
        <v>383</v>
      </c>
      <c r="C169" s="8" t="s">
        <v>62</v>
      </c>
      <c r="D169" s="8" t="s">
        <v>57</v>
      </c>
      <c r="E169" s="8">
        <v>69.900000000000006</v>
      </c>
      <c r="F169" s="8">
        <v>3.9</v>
      </c>
      <c r="G169" s="8">
        <v>72</v>
      </c>
      <c r="H169" s="7">
        <f t="shared" si="6"/>
        <v>61.5</v>
      </c>
      <c r="I169" s="7" t="str">
        <f t="shared" si="7"/>
        <v>PASS</v>
      </c>
      <c r="J169" s="7" t="str">
        <f t="shared" si="8"/>
        <v>Medium Risk</v>
      </c>
      <c r="L169" s="7" t="str">
        <f>IF(J169="High Risk",COUNTIF($J$3:J169,"High Risk"),"")</f>
        <v/>
      </c>
      <c r="M169" s="7">
        <f>RANK(H169,$H$3:$H$1002,0)+COUNTIF($H$3:H169,H169)-1</f>
        <v>594</v>
      </c>
    </row>
    <row r="170" spans="1:13" x14ac:dyDescent="0.35">
      <c r="A170" s="7" t="s">
        <v>384</v>
      </c>
      <c r="B170" s="7" t="s">
        <v>385</v>
      </c>
      <c r="C170" s="8" t="s">
        <v>62</v>
      </c>
      <c r="D170" s="8" t="s">
        <v>68</v>
      </c>
      <c r="E170" s="8">
        <v>78.2</v>
      </c>
      <c r="F170" s="8">
        <v>9.6</v>
      </c>
      <c r="G170" s="8">
        <v>61</v>
      </c>
      <c r="H170" s="7">
        <f t="shared" si="6"/>
        <v>76.7</v>
      </c>
      <c r="I170" s="7" t="str">
        <f t="shared" si="7"/>
        <v>PASS</v>
      </c>
      <c r="J170" s="7" t="str">
        <f t="shared" si="8"/>
        <v>Low Risk</v>
      </c>
      <c r="L170" s="7" t="str">
        <f>IF(J170="High Risk",COUNTIF($J$3:J170,"High Risk"),"")</f>
        <v/>
      </c>
      <c r="M170" s="7">
        <f>RANK(H170,$H$3:$H$1002,0)+COUNTIF($H$3:H170,H170)-1</f>
        <v>293</v>
      </c>
    </row>
    <row r="171" spans="1:13" x14ac:dyDescent="0.35">
      <c r="A171" s="7" t="s">
        <v>386</v>
      </c>
      <c r="B171" s="7" t="s">
        <v>387</v>
      </c>
      <c r="C171" s="8" t="s">
        <v>62</v>
      </c>
      <c r="D171" s="8" t="s">
        <v>63</v>
      </c>
      <c r="E171" s="8">
        <v>70.5</v>
      </c>
      <c r="F171" s="8">
        <v>6.5</v>
      </c>
      <c r="G171" s="8">
        <v>59</v>
      </c>
      <c r="H171" s="7">
        <f t="shared" si="6"/>
        <v>64.3</v>
      </c>
      <c r="I171" s="7" t="str">
        <f t="shared" si="7"/>
        <v>PASS</v>
      </c>
      <c r="J171" s="7" t="str">
        <f t="shared" si="8"/>
        <v>Medium Risk</v>
      </c>
      <c r="L171" s="7" t="str">
        <f>IF(J171="High Risk",COUNTIF($J$3:J171,"High Risk"),"")</f>
        <v/>
      </c>
      <c r="M171" s="7">
        <f>RANK(H171,$H$3:$H$1002,0)+COUNTIF($H$3:H171,H171)-1</f>
        <v>540</v>
      </c>
    </row>
    <row r="172" spans="1:13" x14ac:dyDescent="0.35">
      <c r="A172" s="7" t="s">
        <v>388</v>
      </c>
      <c r="B172" s="7" t="s">
        <v>389</v>
      </c>
      <c r="C172" s="8" t="s">
        <v>62</v>
      </c>
      <c r="D172" s="8" t="s">
        <v>68</v>
      </c>
      <c r="E172" s="8">
        <v>100</v>
      </c>
      <c r="F172" s="8">
        <v>10.199999999999999</v>
      </c>
      <c r="G172" s="8">
        <v>99</v>
      </c>
      <c r="H172" s="7">
        <f t="shared" si="6"/>
        <v>99.6</v>
      </c>
      <c r="I172" s="7" t="str">
        <f t="shared" si="7"/>
        <v>PASS</v>
      </c>
      <c r="J172" s="7" t="str">
        <f t="shared" si="8"/>
        <v>Low Risk</v>
      </c>
      <c r="L172" s="7" t="str">
        <f>IF(J172="High Risk",COUNTIF($J$3:J172,"High Risk"),"")</f>
        <v/>
      </c>
      <c r="M172" s="7">
        <f>RANK(H172,$H$3:$H$1002,0)+COUNTIF($H$3:H172,H172)-1</f>
        <v>15</v>
      </c>
    </row>
    <row r="173" spans="1:13" x14ac:dyDescent="0.35">
      <c r="A173" s="7" t="s">
        <v>390</v>
      </c>
      <c r="B173" s="7" t="s">
        <v>391</v>
      </c>
      <c r="C173" s="8" t="s">
        <v>56</v>
      </c>
      <c r="D173" s="8" t="s">
        <v>75</v>
      </c>
      <c r="E173" s="8">
        <v>73.900000000000006</v>
      </c>
      <c r="F173" s="8">
        <v>5.9</v>
      </c>
      <c r="G173" s="8">
        <v>65</v>
      </c>
      <c r="H173" s="7">
        <f t="shared" si="6"/>
        <v>65.900000000000006</v>
      </c>
      <c r="I173" s="7" t="str">
        <f t="shared" si="7"/>
        <v>PASS</v>
      </c>
      <c r="J173" s="7" t="str">
        <f t="shared" si="8"/>
        <v>Low Risk</v>
      </c>
      <c r="L173" s="7" t="str">
        <f>IF(J173="High Risk",COUNTIF($J$3:J173,"High Risk"),"")</f>
        <v/>
      </c>
      <c r="M173" s="7">
        <f>RANK(H173,$H$3:$H$1002,0)+COUNTIF($H$3:H173,H173)-1</f>
        <v>511</v>
      </c>
    </row>
    <row r="174" spans="1:13" x14ac:dyDescent="0.35">
      <c r="A174" s="7" t="s">
        <v>392</v>
      </c>
      <c r="B174" s="7" t="s">
        <v>393</v>
      </c>
      <c r="C174" s="8" t="s">
        <v>56</v>
      </c>
      <c r="D174" s="8" t="s">
        <v>57</v>
      </c>
      <c r="E174" s="8">
        <v>69.900000000000006</v>
      </c>
      <c r="F174" s="8">
        <v>8.9</v>
      </c>
      <c r="G174" s="8">
        <v>65</v>
      </c>
      <c r="H174" s="7">
        <f t="shared" si="6"/>
        <v>73.7</v>
      </c>
      <c r="I174" s="7" t="str">
        <f t="shared" si="7"/>
        <v>PASS</v>
      </c>
      <c r="J174" s="7" t="str">
        <f t="shared" si="8"/>
        <v>Low Risk</v>
      </c>
      <c r="L174" s="7" t="str">
        <f>IF(J174="High Risk",COUNTIF($J$3:J174,"High Risk"),"")</f>
        <v/>
      </c>
      <c r="M174" s="7">
        <f>RANK(H174,$H$3:$H$1002,0)+COUNTIF($H$3:H174,H174)-1</f>
        <v>346</v>
      </c>
    </row>
    <row r="175" spans="1:13" x14ac:dyDescent="0.35">
      <c r="A175" s="7" t="s">
        <v>394</v>
      </c>
      <c r="B175" s="7" t="s">
        <v>247</v>
      </c>
      <c r="C175" s="8" t="s">
        <v>56</v>
      </c>
      <c r="D175" s="8" t="s">
        <v>57</v>
      </c>
      <c r="E175" s="8">
        <v>91.9</v>
      </c>
      <c r="F175" s="8">
        <v>7.3</v>
      </c>
      <c r="G175" s="8">
        <v>61</v>
      </c>
      <c r="H175" s="7">
        <f t="shared" si="6"/>
        <v>73.900000000000006</v>
      </c>
      <c r="I175" s="7" t="str">
        <f t="shared" si="7"/>
        <v>PASS</v>
      </c>
      <c r="J175" s="7" t="str">
        <f t="shared" si="8"/>
        <v>Low Risk</v>
      </c>
      <c r="L175" s="7" t="str">
        <f>IF(J175="High Risk",COUNTIF($J$3:J175,"High Risk"),"")</f>
        <v/>
      </c>
      <c r="M175" s="7">
        <f>RANK(H175,$H$3:$H$1002,0)+COUNTIF($H$3:H175,H175)-1</f>
        <v>341</v>
      </c>
    </row>
    <row r="176" spans="1:13" x14ac:dyDescent="0.35">
      <c r="A176" s="7" t="s">
        <v>395</v>
      </c>
      <c r="B176" s="7" t="s">
        <v>396</v>
      </c>
      <c r="C176" s="8" t="s">
        <v>56</v>
      </c>
      <c r="D176" s="8" t="s">
        <v>75</v>
      </c>
      <c r="E176" s="8">
        <v>62.2</v>
      </c>
      <c r="F176" s="8">
        <v>2.2000000000000002</v>
      </c>
      <c r="G176" s="8">
        <v>71</v>
      </c>
      <c r="H176" s="7">
        <f t="shared" si="6"/>
        <v>53.7</v>
      </c>
      <c r="I176" s="7" t="str">
        <f t="shared" si="7"/>
        <v>PASS</v>
      </c>
      <c r="J176" s="7" t="str">
        <f t="shared" si="8"/>
        <v>Medium Risk</v>
      </c>
      <c r="L176" s="7" t="str">
        <f>IF(J176="High Risk",COUNTIF($J$3:J176,"High Risk"),"")</f>
        <v/>
      </c>
      <c r="M176" s="7">
        <f>RANK(H176,$H$3:$H$1002,0)+COUNTIF($H$3:H176,H176)-1</f>
        <v>737</v>
      </c>
    </row>
    <row r="177" spans="1:13" x14ac:dyDescent="0.35">
      <c r="A177" s="7" t="s">
        <v>397</v>
      </c>
      <c r="B177" s="7" t="s">
        <v>297</v>
      </c>
      <c r="C177" s="8" t="s">
        <v>62</v>
      </c>
      <c r="D177" s="8" t="s">
        <v>75</v>
      </c>
      <c r="E177" s="8">
        <v>62.6</v>
      </c>
      <c r="F177" s="8">
        <v>1.2</v>
      </c>
      <c r="G177" s="8">
        <v>40</v>
      </c>
      <c r="H177" s="7">
        <f t="shared" si="6"/>
        <v>38.4</v>
      </c>
      <c r="I177" s="7" t="str">
        <f t="shared" si="7"/>
        <v>FAIL</v>
      </c>
      <c r="J177" s="7" t="str">
        <f t="shared" si="8"/>
        <v>High Risk</v>
      </c>
      <c r="L177" s="7">
        <f>IF(J177="High Risk",COUNTIF($J$3:J177,"High Risk"),"")</f>
        <v>34</v>
      </c>
      <c r="M177" s="7">
        <f>RANK(H177,$H$3:$H$1002,0)+COUNTIF($H$3:H177,H177)-1</f>
        <v>918</v>
      </c>
    </row>
    <row r="178" spans="1:13" x14ac:dyDescent="0.35">
      <c r="A178" s="7" t="s">
        <v>398</v>
      </c>
      <c r="B178" s="7" t="s">
        <v>399</v>
      </c>
      <c r="C178" s="8" t="s">
        <v>56</v>
      </c>
      <c r="D178" s="8" t="s">
        <v>57</v>
      </c>
      <c r="E178" s="8">
        <v>71.5</v>
      </c>
      <c r="F178" s="8">
        <v>4.3</v>
      </c>
      <c r="G178" s="8">
        <v>65</v>
      </c>
      <c r="H178" s="7">
        <f t="shared" si="6"/>
        <v>60.4</v>
      </c>
      <c r="I178" s="7" t="str">
        <f t="shared" si="7"/>
        <v>PASS</v>
      </c>
      <c r="J178" s="7" t="str">
        <f t="shared" si="8"/>
        <v>Medium Risk</v>
      </c>
      <c r="L178" s="7" t="str">
        <f>IF(J178="High Risk",COUNTIF($J$3:J178,"High Risk"),"")</f>
        <v/>
      </c>
      <c r="M178" s="7">
        <f>RANK(H178,$H$3:$H$1002,0)+COUNTIF($H$3:H178,H178)-1</f>
        <v>612</v>
      </c>
    </row>
    <row r="179" spans="1:13" x14ac:dyDescent="0.35">
      <c r="A179" s="7" t="s">
        <v>400</v>
      </c>
      <c r="B179" s="7" t="s">
        <v>401</v>
      </c>
      <c r="C179" s="8" t="s">
        <v>56</v>
      </c>
      <c r="D179" s="8" t="s">
        <v>75</v>
      </c>
      <c r="E179" s="8">
        <v>58.8</v>
      </c>
      <c r="F179" s="8">
        <v>3.9</v>
      </c>
      <c r="G179" s="8">
        <v>32</v>
      </c>
      <c r="H179" s="7">
        <f t="shared" si="6"/>
        <v>42.1</v>
      </c>
      <c r="I179" s="7" t="str">
        <f t="shared" si="7"/>
        <v>FAIL</v>
      </c>
      <c r="J179" s="7" t="str">
        <f t="shared" si="8"/>
        <v>High Risk</v>
      </c>
      <c r="L179" s="7">
        <f>IF(J179="High Risk",COUNTIF($J$3:J179,"High Risk"),"")</f>
        <v>35</v>
      </c>
      <c r="M179" s="7">
        <f>RANK(H179,$H$3:$H$1002,0)+COUNTIF($H$3:H179,H179)-1</f>
        <v>883</v>
      </c>
    </row>
    <row r="180" spans="1:13" x14ac:dyDescent="0.35">
      <c r="A180" s="7" t="s">
        <v>402</v>
      </c>
      <c r="B180" s="7" t="s">
        <v>403</v>
      </c>
      <c r="C180" s="8" t="s">
        <v>62</v>
      </c>
      <c r="D180" s="8" t="s">
        <v>63</v>
      </c>
      <c r="E180" s="8">
        <v>92.8</v>
      </c>
      <c r="F180" s="8">
        <v>2.8</v>
      </c>
      <c r="G180" s="8">
        <v>73</v>
      </c>
      <c r="H180" s="7">
        <f t="shared" si="6"/>
        <v>65.400000000000006</v>
      </c>
      <c r="I180" s="7" t="str">
        <f t="shared" si="7"/>
        <v>PASS</v>
      </c>
      <c r="J180" s="7" t="str">
        <f t="shared" si="8"/>
        <v>Low Risk</v>
      </c>
      <c r="L180" s="7" t="str">
        <f>IF(J180="High Risk",COUNTIF($J$3:J180,"High Risk"),"")</f>
        <v/>
      </c>
      <c r="M180" s="7">
        <f>RANK(H180,$H$3:$H$1002,0)+COUNTIF($H$3:H180,H180)-1</f>
        <v>525</v>
      </c>
    </row>
    <row r="181" spans="1:13" x14ac:dyDescent="0.35">
      <c r="A181" s="7" t="s">
        <v>404</v>
      </c>
      <c r="B181" s="7" t="s">
        <v>405</v>
      </c>
      <c r="C181" s="8" t="s">
        <v>62</v>
      </c>
      <c r="D181" s="8" t="s">
        <v>68</v>
      </c>
      <c r="E181" s="8">
        <v>72.400000000000006</v>
      </c>
      <c r="F181" s="8">
        <v>2.7</v>
      </c>
      <c r="G181" s="8">
        <v>52</v>
      </c>
      <c r="H181" s="7">
        <f t="shared" si="6"/>
        <v>50.6</v>
      </c>
      <c r="I181" s="7" t="str">
        <f t="shared" si="7"/>
        <v>PASS</v>
      </c>
      <c r="J181" s="7" t="str">
        <f t="shared" si="8"/>
        <v>Medium Risk</v>
      </c>
      <c r="L181" s="7" t="str">
        <f>IF(J181="High Risk",COUNTIF($J$3:J181,"High Risk"),"")</f>
        <v/>
      </c>
      <c r="M181" s="7">
        <f>RANK(H181,$H$3:$H$1002,0)+COUNTIF($H$3:H181,H181)-1</f>
        <v>790</v>
      </c>
    </row>
    <row r="182" spans="1:13" x14ac:dyDescent="0.35">
      <c r="A182" s="7" t="s">
        <v>406</v>
      </c>
      <c r="B182" s="7" t="s">
        <v>407</v>
      </c>
      <c r="C182" s="8" t="s">
        <v>56</v>
      </c>
      <c r="D182" s="8" t="s">
        <v>68</v>
      </c>
      <c r="E182" s="8">
        <v>53</v>
      </c>
      <c r="F182" s="8">
        <v>0</v>
      </c>
      <c r="G182" s="8">
        <v>56</v>
      </c>
      <c r="H182" s="7">
        <f t="shared" si="6"/>
        <v>38.299999999999997</v>
      </c>
      <c r="I182" s="7" t="str">
        <f t="shared" si="7"/>
        <v>FAIL</v>
      </c>
      <c r="J182" s="7" t="str">
        <f t="shared" si="8"/>
        <v>High Risk</v>
      </c>
      <c r="L182" s="7">
        <f>IF(J182="High Risk",COUNTIF($J$3:J182,"High Risk"),"")</f>
        <v>36</v>
      </c>
      <c r="M182" s="7">
        <f>RANK(H182,$H$3:$H$1002,0)+COUNTIF($H$3:H182,H182)-1</f>
        <v>920</v>
      </c>
    </row>
    <row r="183" spans="1:13" x14ac:dyDescent="0.35">
      <c r="A183" s="7" t="s">
        <v>408</v>
      </c>
      <c r="B183" s="7" t="s">
        <v>409</v>
      </c>
      <c r="C183" s="8" t="s">
        <v>62</v>
      </c>
      <c r="D183" s="8" t="s">
        <v>75</v>
      </c>
      <c r="E183" s="8">
        <v>45.2</v>
      </c>
      <c r="F183" s="8">
        <v>2</v>
      </c>
      <c r="G183" s="8">
        <v>41</v>
      </c>
      <c r="H183" s="7">
        <f t="shared" si="6"/>
        <v>36</v>
      </c>
      <c r="I183" s="7" t="str">
        <f t="shared" si="7"/>
        <v>FAIL</v>
      </c>
      <c r="J183" s="7" t="str">
        <f t="shared" si="8"/>
        <v>High Risk</v>
      </c>
      <c r="L183" s="7">
        <f>IF(J183="High Risk",COUNTIF($J$3:J183,"High Risk"),"")</f>
        <v>37</v>
      </c>
      <c r="M183" s="7">
        <f>RANK(H183,$H$3:$H$1002,0)+COUNTIF($H$3:H183,H183)-1</f>
        <v>940</v>
      </c>
    </row>
    <row r="184" spans="1:13" x14ac:dyDescent="0.35">
      <c r="A184" s="7" t="s">
        <v>410</v>
      </c>
      <c r="B184" s="7" t="s">
        <v>411</v>
      </c>
      <c r="C184" s="8" t="s">
        <v>56</v>
      </c>
      <c r="D184" s="8" t="s">
        <v>75</v>
      </c>
      <c r="E184" s="8">
        <v>90.3</v>
      </c>
      <c r="F184" s="8">
        <v>8.3000000000000007</v>
      </c>
      <c r="G184" s="8">
        <v>63</v>
      </c>
      <c r="H184" s="7">
        <f t="shared" si="6"/>
        <v>77.2</v>
      </c>
      <c r="I184" s="7" t="str">
        <f t="shared" si="7"/>
        <v>PASS</v>
      </c>
      <c r="J184" s="7" t="str">
        <f t="shared" si="8"/>
        <v>Low Risk</v>
      </c>
      <c r="L184" s="7" t="str">
        <f>IF(J184="High Risk",COUNTIF($J$3:J184,"High Risk"),"")</f>
        <v/>
      </c>
      <c r="M184" s="7">
        <f>RANK(H184,$H$3:$H$1002,0)+COUNTIF($H$3:H184,H184)-1</f>
        <v>285</v>
      </c>
    </row>
    <row r="185" spans="1:13" x14ac:dyDescent="0.35">
      <c r="A185" s="7" t="s">
        <v>412</v>
      </c>
      <c r="B185" s="7" t="s">
        <v>413</v>
      </c>
      <c r="C185" s="8" t="s">
        <v>56</v>
      </c>
      <c r="D185" s="8" t="s">
        <v>63</v>
      </c>
      <c r="E185" s="8">
        <v>89.5</v>
      </c>
      <c r="F185" s="8">
        <v>10.199999999999999</v>
      </c>
      <c r="G185" s="8">
        <v>72</v>
      </c>
      <c r="H185" s="7">
        <f t="shared" si="6"/>
        <v>85.7</v>
      </c>
      <c r="I185" s="7" t="str">
        <f t="shared" si="7"/>
        <v>PASS</v>
      </c>
      <c r="J185" s="7" t="str">
        <f t="shared" si="8"/>
        <v>Low Risk</v>
      </c>
      <c r="L185" s="7" t="str">
        <f>IF(J185="High Risk",COUNTIF($J$3:J185,"High Risk"),"")</f>
        <v/>
      </c>
      <c r="M185" s="7">
        <f>RANK(H185,$H$3:$H$1002,0)+COUNTIF($H$3:H185,H185)-1</f>
        <v>158</v>
      </c>
    </row>
    <row r="186" spans="1:13" x14ac:dyDescent="0.35">
      <c r="A186" s="7" t="s">
        <v>414</v>
      </c>
      <c r="B186" s="7" t="s">
        <v>415</v>
      </c>
      <c r="C186" s="8" t="s">
        <v>62</v>
      </c>
      <c r="D186" s="8" t="s">
        <v>63</v>
      </c>
      <c r="E186" s="8">
        <v>96.7</v>
      </c>
      <c r="F186" s="8">
        <v>7.8</v>
      </c>
      <c r="G186" s="8">
        <v>77</v>
      </c>
      <c r="H186" s="7">
        <f t="shared" si="6"/>
        <v>83.2</v>
      </c>
      <c r="I186" s="7" t="str">
        <f t="shared" si="7"/>
        <v>PASS</v>
      </c>
      <c r="J186" s="7" t="str">
        <f t="shared" si="8"/>
        <v>Low Risk</v>
      </c>
      <c r="L186" s="7" t="str">
        <f>IF(J186="High Risk",COUNTIF($J$3:J186,"High Risk"),"")</f>
        <v/>
      </c>
      <c r="M186" s="7">
        <f>RANK(H186,$H$3:$H$1002,0)+COUNTIF($H$3:H186,H186)-1</f>
        <v>191</v>
      </c>
    </row>
    <row r="187" spans="1:13" x14ac:dyDescent="0.35">
      <c r="A187" s="7" t="s">
        <v>416</v>
      </c>
      <c r="B187" s="7" t="s">
        <v>417</v>
      </c>
      <c r="C187" s="8" t="s">
        <v>56</v>
      </c>
      <c r="D187" s="8" t="s">
        <v>68</v>
      </c>
      <c r="E187" s="8">
        <v>61.3</v>
      </c>
      <c r="F187" s="8">
        <v>3.2</v>
      </c>
      <c r="G187" s="8">
        <v>62</v>
      </c>
      <c r="H187" s="7">
        <f t="shared" si="6"/>
        <v>52.8</v>
      </c>
      <c r="I187" s="7" t="str">
        <f t="shared" si="7"/>
        <v>PASS</v>
      </c>
      <c r="J187" s="7" t="str">
        <f t="shared" si="8"/>
        <v>Medium Risk</v>
      </c>
      <c r="L187" s="7" t="str">
        <f>IF(J187="High Risk",COUNTIF($J$3:J187,"High Risk"),"")</f>
        <v/>
      </c>
      <c r="M187" s="7">
        <f>RANK(H187,$H$3:$H$1002,0)+COUNTIF($H$3:H187,H187)-1</f>
        <v>754</v>
      </c>
    </row>
    <row r="188" spans="1:13" x14ac:dyDescent="0.35">
      <c r="A188" s="7" t="s">
        <v>418</v>
      </c>
      <c r="B188" s="7" t="s">
        <v>419</v>
      </c>
      <c r="C188" s="8" t="s">
        <v>62</v>
      </c>
      <c r="D188" s="8" t="s">
        <v>57</v>
      </c>
      <c r="E188" s="8">
        <v>80</v>
      </c>
      <c r="F188" s="8">
        <v>2.1</v>
      </c>
      <c r="G188" s="8">
        <v>62</v>
      </c>
      <c r="H188" s="7">
        <f t="shared" si="6"/>
        <v>55.1</v>
      </c>
      <c r="I188" s="7" t="str">
        <f t="shared" si="7"/>
        <v>PASS</v>
      </c>
      <c r="J188" s="7" t="str">
        <f t="shared" si="8"/>
        <v>Medium Risk</v>
      </c>
      <c r="L188" s="7" t="str">
        <f>IF(J188="High Risk",COUNTIF($J$3:J188,"High Risk"),"")</f>
        <v/>
      </c>
      <c r="M188" s="7">
        <f>RANK(H188,$H$3:$H$1002,0)+COUNTIF($H$3:H188,H188)-1</f>
        <v>712</v>
      </c>
    </row>
    <row r="189" spans="1:13" x14ac:dyDescent="0.35">
      <c r="A189" s="7" t="s">
        <v>420</v>
      </c>
      <c r="B189" s="7" t="s">
        <v>421</v>
      </c>
      <c r="C189" s="8" t="s">
        <v>56</v>
      </c>
      <c r="D189" s="8" t="s">
        <v>57</v>
      </c>
      <c r="E189" s="8">
        <v>81</v>
      </c>
      <c r="F189" s="8">
        <v>2.5</v>
      </c>
      <c r="G189" s="8">
        <v>57</v>
      </c>
      <c r="H189" s="7">
        <f t="shared" si="6"/>
        <v>54.6</v>
      </c>
      <c r="I189" s="7" t="str">
        <f t="shared" si="7"/>
        <v>PASS</v>
      </c>
      <c r="J189" s="7" t="str">
        <f t="shared" si="8"/>
        <v>Medium Risk</v>
      </c>
      <c r="L189" s="7" t="str">
        <f>IF(J189="High Risk",COUNTIF($J$3:J189,"High Risk"),"")</f>
        <v/>
      </c>
      <c r="M189" s="7">
        <f>RANK(H189,$H$3:$H$1002,0)+COUNTIF($H$3:H189,H189)-1</f>
        <v>720</v>
      </c>
    </row>
    <row r="190" spans="1:13" x14ac:dyDescent="0.35">
      <c r="A190" s="7" t="s">
        <v>422</v>
      </c>
      <c r="B190" s="7" t="s">
        <v>79</v>
      </c>
      <c r="C190" s="8" t="s">
        <v>56</v>
      </c>
      <c r="D190" s="8" t="s">
        <v>68</v>
      </c>
      <c r="E190" s="8">
        <v>52.8</v>
      </c>
      <c r="F190" s="8">
        <v>4.2</v>
      </c>
      <c r="G190" s="8">
        <v>54</v>
      </c>
      <c r="H190" s="7">
        <f t="shared" si="6"/>
        <v>50</v>
      </c>
      <c r="I190" s="7" t="str">
        <f t="shared" si="7"/>
        <v>PASS</v>
      </c>
      <c r="J190" s="7" t="str">
        <f t="shared" si="8"/>
        <v>Medium Risk</v>
      </c>
      <c r="L190" s="7" t="str">
        <f>IF(J190="High Risk",COUNTIF($J$3:J190,"High Risk"),"")</f>
        <v/>
      </c>
      <c r="M190" s="7">
        <f>RANK(H190,$H$3:$H$1002,0)+COUNTIF($H$3:H190,H190)-1</f>
        <v>803</v>
      </c>
    </row>
    <row r="191" spans="1:13" x14ac:dyDescent="0.35">
      <c r="A191" s="7" t="s">
        <v>423</v>
      </c>
      <c r="B191" s="7" t="s">
        <v>144</v>
      </c>
      <c r="C191" s="8" t="s">
        <v>56</v>
      </c>
      <c r="D191" s="8" t="s">
        <v>57</v>
      </c>
      <c r="E191" s="8">
        <v>68.900000000000006</v>
      </c>
      <c r="F191" s="8">
        <v>5.8</v>
      </c>
      <c r="G191" s="8">
        <v>47</v>
      </c>
      <c r="H191" s="7">
        <f t="shared" si="6"/>
        <v>56.9</v>
      </c>
      <c r="I191" s="7" t="str">
        <f t="shared" si="7"/>
        <v>PASS</v>
      </c>
      <c r="J191" s="7" t="str">
        <f t="shared" si="8"/>
        <v>Medium Risk</v>
      </c>
      <c r="L191" s="7" t="str">
        <f>IF(J191="High Risk",COUNTIF($J$3:J191,"High Risk"),"")</f>
        <v/>
      </c>
      <c r="M191" s="7">
        <f>RANK(H191,$H$3:$H$1002,0)+COUNTIF($H$3:H191,H191)-1</f>
        <v>686</v>
      </c>
    </row>
    <row r="192" spans="1:13" x14ac:dyDescent="0.35">
      <c r="A192" s="7" t="s">
        <v>424</v>
      </c>
      <c r="B192" s="7" t="s">
        <v>425</v>
      </c>
      <c r="C192" s="8" t="s">
        <v>62</v>
      </c>
      <c r="D192" s="8" t="s">
        <v>57</v>
      </c>
      <c r="E192" s="8">
        <v>97.7</v>
      </c>
      <c r="F192" s="8">
        <v>11.3</v>
      </c>
      <c r="G192" s="8">
        <v>88</v>
      </c>
      <c r="H192" s="7">
        <f t="shared" si="6"/>
        <v>94.5</v>
      </c>
      <c r="I192" s="7" t="str">
        <f t="shared" si="7"/>
        <v>PASS</v>
      </c>
      <c r="J192" s="7" t="str">
        <f t="shared" si="8"/>
        <v>Low Risk</v>
      </c>
      <c r="L192" s="7" t="str">
        <f>IF(J192="High Risk",COUNTIF($J$3:J192,"High Risk"),"")</f>
        <v/>
      </c>
      <c r="M192" s="7">
        <f>RANK(H192,$H$3:$H$1002,0)+COUNTIF($H$3:H192,H192)-1</f>
        <v>62</v>
      </c>
    </row>
    <row r="193" spans="1:13" x14ac:dyDescent="0.35">
      <c r="A193" s="7" t="s">
        <v>426</v>
      </c>
      <c r="B193" s="7" t="s">
        <v>427</v>
      </c>
      <c r="C193" s="8" t="s">
        <v>62</v>
      </c>
      <c r="D193" s="8" t="s">
        <v>75</v>
      </c>
      <c r="E193" s="8">
        <v>68.099999999999994</v>
      </c>
      <c r="F193" s="8">
        <v>7</v>
      </c>
      <c r="G193" s="8">
        <v>49</v>
      </c>
      <c r="H193" s="7">
        <f t="shared" si="6"/>
        <v>61</v>
      </c>
      <c r="I193" s="7" t="str">
        <f t="shared" si="7"/>
        <v>PASS</v>
      </c>
      <c r="J193" s="7" t="str">
        <f t="shared" si="8"/>
        <v>Medium Risk</v>
      </c>
      <c r="L193" s="7" t="str">
        <f>IF(J193="High Risk",COUNTIF($J$3:J193,"High Risk"),"")</f>
        <v/>
      </c>
      <c r="M193" s="7">
        <f>RANK(H193,$H$3:$H$1002,0)+COUNTIF($H$3:H193,H193)-1</f>
        <v>602</v>
      </c>
    </row>
    <row r="194" spans="1:13" x14ac:dyDescent="0.35">
      <c r="A194" s="7" t="s">
        <v>428</v>
      </c>
      <c r="B194" s="7" t="s">
        <v>429</v>
      </c>
      <c r="C194" s="8" t="s">
        <v>56</v>
      </c>
      <c r="D194" s="8" t="s">
        <v>57</v>
      </c>
      <c r="E194" s="8">
        <v>61.6</v>
      </c>
      <c r="F194" s="8">
        <v>6.2</v>
      </c>
      <c r="G194" s="8">
        <v>46</v>
      </c>
      <c r="H194" s="7">
        <f t="shared" si="6"/>
        <v>55.5</v>
      </c>
      <c r="I194" s="7" t="str">
        <f t="shared" si="7"/>
        <v>PASS</v>
      </c>
      <c r="J194" s="7" t="str">
        <f t="shared" si="8"/>
        <v>Medium Risk</v>
      </c>
      <c r="L194" s="7" t="str">
        <f>IF(J194="High Risk",COUNTIF($J$3:J194,"High Risk"),"")</f>
        <v/>
      </c>
      <c r="M194" s="7">
        <f>RANK(H194,$H$3:$H$1002,0)+COUNTIF($H$3:H194,H194)-1</f>
        <v>702</v>
      </c>
    </row>
    <row r="195" spans="1:13" x14ac:dyDescent="0.35">
      <c r="A195" s="7" t="s">
        <v>430</v>
      </c>
      <c r="B195" s="7" t="s">
        <v>431</v>
      </c>
      <c r="C195" s="8" t="s">
        <v>56</v>
      </c>
      <c r="D195" s="8" t="s">
        <v>63</v>
      </c>
      <c r="E195" s="8">
        <v>87.5</v>
      </c>
      <c r="F195" s="8">
        <v>6.4</v>
      </c>
      <c r="G195" s="8">
        <v>66</v>
      </c>
      <c r="H195" s="7">
        <f t="shared" ref="H195:H258" si="9">ROUND(0.4*G195+0.3*E195+0.3*MIN(F195/10,1)*100,1)</f>
        <v>71.900000000000006</v>
      </c>
      <c r="I195" s="7" t="str">
        <f t="shared" ref="I195:I258" si="10">IF(H195&gt;=50,"PASS","FAIL")</f>
        <v>PASS</v>
      </c>
      <c r="J195" s="7" t="str">
        <f t="shared" ref="J195:J258" si="11">IF(H195&lt;50,"High Risk",IF(H195&lt;65,"Medium Risk","Low Risk"))</f>
        <v>Low Risk</v>
      </c>
      <c r="L195" s="7" t="str">
        <f>IF(J195="High Risk",COUNTIF($J$3:J195,"High Risk"),"")</f>
        <v/>
      </c>
      <c r="M195" s="7">
        <f>RANK(H195,$H$3:$H$1002,0)+COUNTIF($H$3:H195,H195)-1</f>
        <v>388</v>
      </c>
    </row>
    <row r="196" spans="1:13" x14ac:dyDescent="0.35">
      <c r="A196" s="7" t="s">
        <v>432</v>
      </c>
      <c r="B196" s="7" t="s">
        <v>200</v>
      </c>
      <c r="C196" s="8" t="s">
        <v>56</v>
      </c>
      <c r="D196" s="8" t="s">
        <v>68</v>
      </c>
      <c r="E196" s="8">
        <v>85.6</v>
      </c>
      <c r="F196" s="8">
        <v>7</v>
      </c>
      <c r="G196" s="8">
        <v>83</v>
      </c>
      <c r="H196" s="7">
        <f t="shared" si="9"/>
        <v>79.900000000000006</v>
      </c>
      <c r="I196" s="7" t="str">
        <f t="shared" si="10"/>
        <v>PASS</v>
      </c>
      <c r="J196" s="7" t="str">
        <f t="shared" si="11"/>
        <v>Low Risk</v>
      </c>
      <c r="L196" s="7" t="str">
        <f>IF(J196="High Risk",COUNTIF($J$3:J196,"High Risk"),"")</f>
        <v/>
      </c>
      <c r="M196" s="7">
        <f>RANK(H196,$H$3:$H$1002,0)+COUNTIF($H$3:H196,H196)-1</f>
        <v>249</v>
      </c>
    </row>
    <row r="197" spans="1:13" x14ac:dyDescent="0.35">
      <c r="A197" s="7" t="s">
        <v>433</v>
      </c>
      <c r="B197" s="7" t="s">
        <v>434</v>
      </c>
      <c r="C197" s="8" t="s">
        <v>62</v>
      </c>
      <c r="D197" s="8" t="s">
        <v>57</v>
      </c>
      <c r="E197" s="8">
        <v>75.5</v>
      </c>
      <c r="F197" s="8">
        <v>5.2</v>
      </c>
      <c r="G197" s="8">
        <v>56</v>
      </c>
      <c r="H197" s="7">
        <f t="shared" si="9"/>
        <v>60.7</v>
      </c>
      <c r="I197" s="7" t="str">
        <f t="shared" si="10"/>
        <v>PASS</v>
      </c>
      <c r="J197" s="7" t="str">
        <f t="shared" si="11"/>
        <v>Medium Risk</v>
      </c>
      <c r="L197" s="7" t="str">
        <f>IF(J197="High Risk",COUNTIF($J$3:J197,"High Risk"),"")</f>
        <v/>
      </c>
      <c r="M197" s="7">
        <f>RANK(H197,$H$3:$H$1002,0)+COUNTIF($H$3:H197,H197)-1</f>
        <v>606</v>
      </c>
    </row>
    <row r="198" spans="1:13" x14ac:dyDescent="0.35">
      <c r="A198" s="7" t="s">
        <v>435</v>
      </c>
      <c r="B198" s="7" t="s">
        <v>436</v>
      </c>
      <c r="C198" s="8" t="s">
        <v>56</v>
      </c>
      <c r="D198" s="8" t="s">
        <v>75</v>
      </c>
      <c r="E198" s="8">
        <v>75.3</v>
      </c>
      <c r="F198" s="8">
        <v>9.6999999999999993</v>
      </c>
      <c r="G198" s="8">
        <v>85</v>
      </c>
      <c r="H198" s="7">
        <f t="shared" si="9"/>
        <v>85.7</v>
      </c>
      <c r="I198" s="7" t="str">
        <f t="shared" si="10"/>
        <v>PASS</v>
      </c>
      <c r="J198" s="7" t="str">
        <f t="shared" si="11"/>
        <v>Low Risk</v>
      </c>
      <c r="L198" s="7" t="str">
        <f>IF(J198="High Risk",COUNTIF($J$3:J198,"High Risk"),"")</f>
        <v/>
      </c>
      <c r="M198" s="7">
        <f>RANK(H198,$H$3:$H$1002,0)+COUNTIF($H$3:H198,H198)-1</f>
        <v>159</v>
      </c>
    </row>
    <row r="199" spans="1:13" x14ac:dyDescent="0.35">
      <c r="A199" s="7" t="s">
        <v>437</v>
      </c>
      <c r="B199" s="7" t="s">
        <v>438</v>
      </c>
      <c r="C199" s="8" t="s">
        <v>62</v>
      </c>
      <c r="D199" s="8" t="s">
        <v>68</v>
      </c>
      <c r="E199" s="8">
        <v>86</v>
      </c>
      <c r="F199" s="8">
        <v>10.3</v>
      </c>
      <c r="G199" s="8">
        <v>89</v>
      </c>
      <c r="H199" s="7">
        <f t="shared" si="9"/>
        <v>91.4</v>
      </c>
      <c r="I199" s="7" t="str">
        <f t="shared" si="10"/>
        <v>PASS</v>
      </c>
      <c r="J199" s="7" t="str">
        <f t="shared" si="11"/>
        <v>Low Risk</v>
      </c>
      <c r="L199" s="7" t="str">
        <f>IF(J199="High Risk",COUNTIF($J$3:J199,"High Risk"),"")</f>
        <v/>
      </c>
      <c r="M199" s="7">
        <f>RANK(H199,$H$3:$H$1002,0)+COUNTIF($H$3:H199,H199)-1</f>
        <v>91</v>
      </c>
    </row>
    <row r="200" spans="1:13" x14ac:dyDescent="0.35">
      <c r="A200" s="7" t="s">
        <v>439</v>
      </c>
      <c r="B200" s="7" t="s">
        <v>440</v>
      </c>
      <c r="C200" s="8" t="s">
        <v>62</v>
      </c>
      <c r="D200" s="8" t="s">
        <v>75</v>
      </c>
      <c r="E200" s="8">
        <v>75.900000000000006</v>
      </c>
      <c r="F200" s="8">
        <v>3</v>
      </c>
      <c r="G200" s="8">
        <v>70</v>
      </c>
      <c r="H200" s="7">
        <f t="shared" si="9"/>
        <v>59.8</v>
      </c>
      <c r="I200" s="7" t="str">
        <f t="shared" si="10"/>
        <v>PASS</v>
      </c>
      <c r="J200" s="7" t="str">
        <f t="shared" si="11"/>
        <v>Medium Risk</v>
      </c>
      <c r="L200" s="7" t="str">
        <f>IF(J200="High Risk",COUNTIF($J$3:J200,"High Risk"),"")</f>
        <v/>
      </c>
      <c r="M200" s="7">
        <f>RANK(H200,$H$3:$H$1002,0)+COUNTIF($H$3:H200,H200)-1</f>
        <v>626</v>
      </c>
    </row>
    <row r="201" spans="1:13" x14ac:dyDescent="0.35">
      <c r="A201" s="7" t="s">
        <v>441</v>
      </c>
      <c r="B201" s="7" t="s">
        <v>442</v>
      </c>
      <c r="C201" s="8" t="s">
        <v>62</v>
      </c>
      <c r="D201" s="8" t="s">
        <v>68</v>
      </c>
      <c r="E201" s="8">
        <v>56.4</v>
      </c>
      <c r="F201" s="8">
        <v>1.3</v>
      </c>
      <c r="G201" s="8">
        <v>40</v>
      </c>
      <c r="H201" s="7">
        <f t="shared" si="9"/>
        <v>36.799999999999997</v>
      </c>
      <c r="I201" s="7" t="str">
        <f t="shared" si="10"/>
        <v>FAIL</v>
      </c>
      <c r="J201" s="7" t="str">
        <f t="shared" si="11"/>
        <v>High Risk</v>
      </c>
      <c r="L201" s="7">
        <f>IF(J201="High Risk",COUNTIF($J$3:J201,"High Risk"),"")</f>
        <v>38</v>
      </c>
      <c r="M201" s="7">
        <f>RANK(H201,$H$3:$H$1002,0)+COUNTIF($H$3:H201,H201)-1</f>
        <v>934</v>
      </c>
    </row>
    <row r="202" spans="1:13" x14ac:dyDescent="0.35">
      <c r="A202" s="7" t="s">
        <v>443</v>
      </c>
      <c r="B202" s="7" t="s">
        <v>444</v>
      </c>
      <c r="C202" s="8" t="s">
        <v>56</v>
      </c>
      <c r="D202" s="8" t="s">
        <v>57</v>
      </c>
      <c r="E202" s="8">
        <v>71.599999999999994</v>
      </c>
      <c r="F202" s="8">
        <v>5.0999999999999996</v>
      </c>
      <c r="G202" s="8">
        <v>63</v>
      </c>
      <c r="H202" s="7">
        <f t="shared" si="9"/>
        <v>62</v>
      </c>
      <c r="I202" s="7" t="str">
        <f t="shared" si="10"/>
        <v>PASS</v>
      </c>
      <c r="J202" s="7" t="str">
        <f t="shared" si="11"/>
        <v>Medium Risk</v>
      </c>
      <c r="L202" s="7" t="str">
        <f>IF(J202="High Risk",COUNTIF($J$3:J202,"High Risk"),"")</f>
        <v/>
      </c>
      <c r="M202" s="7">
        <f>RANK(H202,$H$3:$H$1002,0)+COUNTIF($H$3:H202,H202)-1</f>
        <v>581</v>
      </c>
    </row>
    <row r="203" spans="1:13" x14ac:dyDescent="0.35">
      <c r="A203" s="7" t="s">
        <v>445</v>
      </c>
      <c r="B203" s="7" t="s">
        <v>446</v>
      </c>
      <c r="C203" s="8" t="s">
        <v>62</v>
      </c>
      <c r="D203" s="8" t="s">
        <v>63</v>
      </c>
      <c r="E203" s="8">
        <v>69.8</v>
      </c>
      <c r="F203" s="8">
        <v>10.3</v>
      </c>
      <c r="G203" s="8">
        <v>71</v>
      </c>
      <c r="H203" s="7">
        <f t="shared" si="9"/>
        <v>79.3</v>
      </c>
      <c r="I203" s="7" t="str">
        <f t="shared" si="10"/>
        <v>PASS</v>
      </c>
      <c r="J203" s="7" t="str">
        <f t="shared" si="11"/>
        <v>Low Risk</v>
      </c>
      <c r="L203" s="7" t="str">
        <f>IF(J203="High Risk",COUNTIF($J$3:J203,"High Risk"),"")</f>
        <v/>
      </c>
      <c r="M203" s="7">
        <f>RANK(H203,$H$3:$H$1002,0)+COUNTIF($H$3:H203,H203)-1</f>
        <v>257</v>
      </c>
    </row>
    <row r="204" spans="1:13" x14ac:dyDescent="0.35">
      <c r="A204" s="7" t="s">
        <v>447</v>
      </c>
      <c r="B204" s="7" t="s">
        <v>448</v>
      </c>
      <c r="C204" s="8" t="s">
        <v>56</v>
      </c>
      <c r="D204" s="8" t="s">
        <v>68</v>
      </c>
      <c r="E204" s="8">
        <v>76.400000000000006</v>
      </c>
      <c r="F204" s="8">
        <v>6.4</v>
      </c>
      <c r="G204" s="8">
        <v>59</v>
      </c>
      <c r="H204" s="7">
        <f t="shared" si="9"/>
        <v>65.7</v>
      </c>
      <c r="I204" s="7" t="str">
        <f t="shared" si="10"/>
        <v>PASS</v>
      </c>
      <c r="J204" s="7" t="str">
        <f t="shared" si="11"/>
        <v>Low Risk</v>
      </c>
      <c r="L204" s="7" t="str">
        <f>IF(J204="High Risk",COUNTIF($J$3:J204,"High Risk"),"")</f>
        <v/>
      </c>
      <c r="M204" s="7">
        <f>RANK(H204,$H$3:$H$1002,0)+COUNTIF($H$3:H204,H204)-1</f>
        <v>518</v>
      </c>
    </row>
    <row r="205" spans="1:13" x14ac:dyDescent="0.35">
      <c r="A205" s="7" t="s">
        <v>449</v>
      </c>
      <c r="B205" s="7" t="s">
        <v>450</v>
      </c>
      <c r="C205" s="8" t="s">
        <v>56</v>
      </c>
      <c r="D205" s="8" t="s">
        <v>63</v>
      </c>
      <c r="E205" s="8">
        <v>74.900000000000006</v>
      </c>
      <c r="F205" s="8">
        <v>2.5</v>
      </c>
      <c r="G205" s="8">
        <v>59</v>
      </c>
      <c r="H205" s="7">
        <f t="shared" si="9"/>
        <v>53.6</v>
      </c>
      <c r="I205" s="7" t="str">
        <f t="shared" si="10"/>
        <v>PASS</v>
      </c>
      <c r="J205" s="7" t="str">
        <f t="shared" si="11"/>
        <v>Medium Risk</v>
      </c>
      <c r="L205" s="7" t="str">
        <f>IF(J205="High Risk",COUNTIF($J$3:J205,"High Risk"),"")</f>
        <v/>
      </c>
      <c r="M205" s="7">
        <f>RANK(H205,$H$3:$H$1002,0)+COUNTIF($H$3:H205,H205)-1</f>
        <v>742</v>
      </c>
    </row>
    <row r="206" spans="1:13" x14ac:dyDescent="0.35">
      <c r="A206" s="7" t="s">
        <v>451</v>
      </c>
      <c r="B206" s="7" t="s">
        <v>452</v>
      </c>
      <c r="C206" s="8" t="s">
        <v>56</v>
      </c>
      <c r="D206" s="8" t="s">
        <v>63</v>
      </c>
      <c r="E206" s="8">
        <v>90.9</v>
      </c>
      <c r="F206" s="8">
        <v>9.1999999999999993</v>
      </c>
      <c r="G206" s="8">
        <v>85</v>
      </c>
      <c r="H206" s="7">
        <f t="shared" si="9"/>
        <v>88.9</v>
      </c>
      <c r="I206" s="7" t="str">
        <f t="shared" si="10"/>
        <v>PASS</v>
      </c>
      <c r="J206" s="7" t="str">
        <f t="shared" si="11"/>
        <v>Low Risk</v>
      </c>
      <c r="L206" s="7" t="str">
        <f>IF(J206="High Risk",COUNTIF($J$3:J206,"High Risk"),"")</f>
        <v/>
      </c>
      <c r="M206" s="7">
        <f>RANK(H206,$H$3:$H$1002,0)+COUNTIF($H$3:H206,H206)-1</f>
        <v>119</v>
      </c>
    </row>
    <row r="207" spans="1:13" x14ac:dyDescent="0.35">
      <c r="A207" s="7" t="s">
        <v>453</v>
      </c>
      <c r="B207" s="7" t="s">
        <v>454</v>
      </c>
      <c r="C207" s="8" t="s">
        <v>62</v>
      </c>
      <c r="D207" s="8" t="s">
        <v>57</v>
      </c>
      <c r="E207" s="8">
        <v>66.900000000000006</v>
      </c>
      <c r="F207" s="8">
        <v>6.7</v>
      </c>
      <c r="G207" s="8">
        <v>79</v>
      </c>
      <c r="H207" s="7">
        <f t="shared" si="9"/>
        <v>71.8</v>
      </c>
      <c r="I207" s="7" t="str">
        <f t="shared" si="10"/>
        <v>PASS</v>
      </c>
      <c r="J207" s="7" t="str">
        <f t="shared" si="11"/>
        <v>Low Risk</v>
      </c>
      <c r="L207" s="7" t="str">
        <f>IF(J207="High Risk",COUNTIF($J$3:J207,"High Risk"),"")</f>
        <v/>
      </c>
      <c r="M207" s="7">
        <f>RANK(H207,$H$3:$H$1002,0)+COUNTIF($H$3:H207,H207)-1</f>
        <v>391</v>
      </c>
    </row>
    <row r="208" spans="1:13" x14ac:dyDescent="0.35">
      <c r="A208" s="7" t="s">
        <v>455</v>
      </c>
      <c r="B208" s="7" t="s">
        <v>456</v>
      </c>
      <c r="C208" s="8" t="s">
        <v>62</v>
      </c>
      <c r="D208" s="8" t="s">
        <v>75</v>
      </c>
      <c r="E208" s="8">
        <v>98.7</v>
      </c>
      <c r="F208" s="8">
        <v>8.6999999999999993</v>
      </c>
      <c r="G208" s="8">
        <v>100</v>
      </c>
      <c r="H208" s="7">
        <f t="shared" si="9"/>
        <v>95.7</v>
      </c>
      <c r="I208" s="7" t="str">
        <f t="shared" si="10"/>
        <v>PASS</v>
      </c>
      <c r="J208" s="7" t="str">
        <f t="shared" si="11"/>
        <v>Low Risk</v>
      </c>
      <c r="L208" s="7" t="str">
        <f>IF(J208="High Risk",COUNTIF($J$3:J208,"High Risk"),"")</f>
        <v/>
      </c>
      <c r="M208" s="7">
        <f>RANK(H208,$H$3:$H$1002,0)+COUNTIF($H$3:H208,H208)-1</f>
        <v>50</v>
      </c>
    </row>
    <row r="209" spans="1:13" x14ac:dyDescent="0.35">
      <c r="A209" s="7" t="s">
        <v>457</v>
      </c>
      <c r="B209" s="7" t="s">
        <v>458</v>
      </c>
      <c r="C209" s="8" t="s">
        <v>56</v>
      </c>
      <c r="D209" s="8" t="s">
        <v>75</v>
      </c>
      <c r="E209" s="8">
        <v>90.6</v>
      </c>
      <c r="F209" s="8">
        <v>10</v>
      </c>
      <c r="G209" s="8">
        <v>68</v>
      </c>
      <c r="H209" s="7">
        <f t="shared" si="9"/>
        <v>84.4</v>
      </c>
      <c r="I209" s="7" t="str">
        <f t="shared" si="10"/>
        <v>PASS</v>
      </c>
      <c r="J209" s="7" t="str">
        <f t="shared" si="11"/>
        <v>Low Risk</v>
      </c>
      <c r="L209" s="7" t="str">
        <f>IF(J209="High Risk",COUNTIF($J$3:J209,"High Risk"),"")</f>
        <v/>
      </c>
      <c r="M209" s="7">
        <f>RANK(H209,$H$3:$H$1002,0)+COUNTIF($H$3:H209,H209)-1</f>
        <v>174</v>
      </c>
    </row>
    <row r="210" spans="1:13" x14ac:dyDescent="0.35">
      <c r="A210" s="7" t="s">
        <v>459</v>
      </c>
      <c r="B210" s="7" t="s">
        <v>460</v>
      </c>
      <c r="C210" s="8" t="s">
        <v>62</v>
      </c>
      <c r="D210" s="8" t="s">
        <v>75</v>
      </c>
      <c r="E210" s="8">
        <v>41.2</v>
      </c>
      <c r="F210" s="8">
        <v>0</v>
      </c>
      <c r="G210" s="8">
        <v>29</v>
      </c>
      <c r="H210" s="7">
        <f t="shared" si="9"/>
        <v>24</v>
      </c>
      <c r="I210" s="7" t="str">
        <f t="shared" si="10"/>
        <v>FAIL</v>
      </c>
      <c r="J210" s="7" t="str">
        <f t="shared" si="11"/>
        <v>High Risk</v>
      </c>
      <c r="L210" s="7">
        <f>IF(J210="High Risk",COUNTIF($J$3:J210,"High Risk"),"")</f>
        <v>39</v>
      </c>
      <c r="M210" s="7">
        <f>RANK(H210,$H$3:$H$1002,0)+COUNTIF($H$3:H210,H210)-1</f>
        <v>987</v>
      </c>
    </row>
    <row r="211" spans="1:13" x14ac:dyDescent="0.35">
      <c r="A211" s="7" t="s">
        <v>461</v>
      </c>
      <c r="B211" s="7" t="s">
        <v>462</v>
      </c>
      <c r="C211" s="8" t="s">
        <v>62</v>
      </c>
      <c r="D211" s="8" t="s">
        <v>63</v>
      </c>
      <c r="E211" s="8">
        <v>74.2</v>
      </c>
      <c r="F211" s="8">
        <v>7.1</v>
      </c>
      <c r="G211" s="8">
        <v>76</v>
      </c>
      <c r="H211" s="7">
        <f t="shared" si="9"/>
        <v>74</v>
      </c>
      <c r="I211" s="7" t="str">
        <f t="shared" si="10"/>
        <v>PASS</v>
      </c>
      <c r="J211" s="7" t="str">
        <f t="shared" si="11"/>
        <v>Low Risk</v>
      </c>
      <c r="L211" s="7" t="str">
        <f>IF(J211="High Risk",COUNTIF($J$3:J211,"High Risk"),"")</f>
        <v/>
      </c>
      <c r="M211" s="7">
        <f>RANK(H211,$H$3:$H$1002,0)+COUNTIF($H$3:H211,H211)-1</f>
        <v>339</v>
      </c>
    </row>
    <row r="212" spans="1:13" x14ac:dyDescent="0.35">
      <c r="A212" s="7" t="s">
        <v>463</v>
      </c>
      <c r="B212" s="7" t="s">
        <v>464</v>
      </c>
      <c r="C212" s="8" t="s">
        <v>62</v>
      </c>
      <c r="D212" s="8" t="s">
        <v>63</v>
      </c>
      <c r="E212" s="8">
        <v>60</v>
      </c>
      <c r="F212" s="8">
        <v>2.2999999999999998</v>
      </c>
      <c r="G212" s="8">
        <v>46</v>
      </c>
      <c r="H212" s="7">
        <f t="shared" si="9"/>
        <v>43.3</v>
      </c>
      <c r="I212" s="7" t="str">
        <f t="shared" si="10"/>
        <v>FAIL</v>
      </c>
      <c r="J212" s="7" t="str">
        <f t="shared" si="11"/>
        <v>High Risk</v>
      </c>
      <c r="L212" s="7">
        <f>IF(J212="High Risk",COUNTIF($J$3:J212,"High Risk"),"")</f>
        <v>40</v>
      </c>
      <c r="M212" s="7">
        <f>RANK(H212,$H$3:$H$1002,0)+COUNTIF($H$3:H212,H212)-1</f>
        <v>870</v>
      </c>
    </row>
    <row r="213" spans="1:13" x14ac:dyDescent="0.35">
      <c r="A213" s="7" t="s">
        <v>465</v>
      </c>
      <c r="B213" s="7" t="s">
        <v>466</v>
      </c>
      <c r="C213" s="8" t="s">
        <v>62</v>
      </c>
      <c r="D213" s="8" t="s">
        <v>57</v>
      </c>
      <c r="E213" s="8">
        <v>100</v>
      </c>
      <c r="F213" s="8">
        <v>14.3</v>
      </c>
      <c r="G213" s="8">
        <v>100</v>
      </c>
      <c r="H213" s="7">
        <f t="shared" si="9"/>
        <v>100</v>
      </c>
      <c r="I213" s="7" t="str">
        <f t="shared" si="10"/>
        <v>PASS</v>
      </c>
      <c r="J213" s="7" t="str">
        <f t="shared" si="11"/>
        <v>Low Risk</v>
      </c>
      <c r="L213" s="7" t="str">
        <f>IF(J213="High Risk",COUNTIF($J$3:J213,"High Risk"),"")</f>
        <v/>
      </c>
      <c r="M213" s="7">
        <f>RANK(H213,$H$3:$H$1002,0)+COUNTIF($H$3:H213,H213)-1</f>
        <v>3</v>
      </c>
    </row>
    <row r="214" spans="1:13" x14ac:dyDescent="0.35">
      <c r="A214" s="7" t="s">
        <v>467</v>
      </c>
      <c r="B214" s="7" t="s">
        <v>468</v>
      </c>
      <c r="C214" s="8" t="s">
        <v>62</v>
      </c>
      <c r="D214" s="8" t="s">
        <v>63</v>
      </c>
      <c r="E214" s="8">
        <v>78.7</v>
      </c>
      <c r="F214" s="8">
        <v>7.9</v>
      </c>
      <c r="G214" s="8">
        <v>58</v>
      </c>
      <c r="H214" s="7">
        <f t="shared" si="9"/>
        <v>70.5</v>
      </c>
      <c r="I214" s="7" t="str">
        <f t="shared" si="10"/>
        <v>PASS</v>
      </c>
      <c r="J214" s="7" t="str">
        <f t="shared" si="11"/>
        <v>Low Risk</v>
      </c>
      <c r="L214" s="7" t="str">
        <f>IF(J214="High Risk",COUNTIF($J$3:J214,"High Risk"),"")</f>
        <v/>
      </c>
      <c r="M214" s="7">
        <f>RANK(H214,$H$3:$H$1002,0)+COUNTIF($H$3:H214,H214)-1</f>
        <v>420</v>
      </c>
    </row>
    <row r="215" spans="1:13" x14ac:dyDescent="0.35">
      <c r="A215" s="7" t="s">
        <v>469</v>
      </c>
      <c r="B215" s="7" t="s">
        <v>470</v>
      </c>
      <c r="C215" s="8" t="s">
        <v>62</v>
      </c>
      <c r="D215" s="8" t="s">
        <v>57</v>
      </c>
      <c r="E215" s="8">
        <v>70</v>
      </c>
      <c r="F215" s="8">
        <v>4.7</v>
      </c>
      <c r="G215" s="8">
        <v>74</v>
      </c>
      <c r="H215" s="7">
        <f t="shared" si="9"/>
        <v>64.7</v>
      </c>
      <c r="I215" s="7" t="str">
        <f t="shared" si="10"/>
        <v>PASS</v>
      </c>
      <c r="J215" s="7" t="str">
        <f t="shared" si="11"/>
        <v>Medium Risk</v>
      </c>
      <c r="L215" s="7" t="str">
        <f>IF(J215="High Risk",COUNTIF($J$3:J215,"High Risk"),"")</f>
        <v/>
      </c>
      <c r="M215" s="7">
        <f>RANK(H215,$H$3:$H$1002,0)+COUNTIF($H$3:H215,H215)-1</f>
        <v>534</v>
      </c>
    </row>
    <row r="216" spans="1:13" x14ac:dyDescent="0.35">
      <c r="A216" s="7" t="s">
        <v>471</v>
      </c>
      <c r="B216" s="7" t="s">
        <v>472</v>
      </c>
      <c r="C216" s="8" t="s">
        <v>56</v>
      </c>
      <c r="D216" s="8" t="s">
        <v>68</v>
      </c>
      <c r="E216" s="8">
        <v>67.099999999999994</v>
      </c>
      <c r="F216" s="8">
        <v>1.1000000000000001</v>
      </c>
      <c r="G216" s="8">
        <v>43</v>
      </c>
      <c r="H216" s="7">
        <f t="shared" si="9"/>
        <v>40.6</v>
      </c>
      <c r="I216" s="7" t="str">
        <f t="shared" si="10"/>
        <v>FAIL</v>
      </c>
      <c r="J216" s="7" t="str">
        <f t="shared" si="11"/>
        <v>High Risk</v>
      </c>
      <c r="L216" s="7">
        <f>IF(J216="High Risk",COUNTIF($J$3:J216,"High Risk"),"")</f>
        <v>41</v>
      </c>
      <c r="M216" s="7">
        <f>RANK(H216,$H$3:$H$1002,0)+COUNTIF($H$3:H216,H216)-1</f>
        <v>895</v>
      </c>
    </row>
    <row r="217" spans="1:13" x14ac:dyDescent="0.35">
      <c r="A217" s="7" t="s">
        <v>473</v>
      </c>
      <c r="B217" s="7" t="s">
        <v>474</v>
      </c>
      <c r="C217" s="8" t="s">
        <v>62</v>
      </c>
      <c r="D217" s="8" t="s">
        <v>57</v>
      </c>
      <c r="E217" s="8">
        <v>77.900000000000006</v>
      </c>
      <c r="F217" s="8">
        <v>7.4</v>
      </c>
      <c r="G217" s="8">
        <v>76</v>
      </c>
      <c r="H217" s="7">
        <f t="shared" si="9"/>
        <v>76</v>
      </c>
      <c r="I217" s="7" t="str">
        <f t="shared" si="10"/>
        <v>PASS</v>
      </c>
      <c r="J217" s="7" t="str">
        <f t="shared" si="11"/>
        <v>Low Risk</v>
      </c>
      <c r="L217" s="7" t="str">
        <f>IF(J217="High Risk",COUNTIF($J$3:J217,"High Risk"),"")</f>
        <v/>
      </c>
      <c r="M217" s="7">
        <f>RANK(H217,$H$3:$H$1002,0)+COUNTIF($H$3:H217,H217)-1</f>
        <v>307</v>
      </c>
    </row>
    <row r="218" spans="1:13" x14ac:dyDescent="0.35">
      <c r="A218" s="7" t="s">
        <v>475</v>
      </c>
      <c r="B218" s="7" t="s">
        <v>476</v>
      </c>
      <c r="C218" s="8" t="s">
        <v>56</v>
      </c>
      <c r="D218" s="8" t="s">
        <v>57</v>
      </c>
      <c r="E218" s="8">
        <v>36.4</v>
      </c>
      <c r="F218" s="8">
        <v>0</v>
      </c>
      <c r="G218" s="8">
        <v>33</v>
      </c>
      <c r="H218" s="7">
        <f t="shared" si="9"/>
        <v>24.1</v>
      </c>
      <c r="I218" s="7" t="str">
        <f t="shared" si="10"/>
        <v>FAIL</v>
      </c>
      <c r="J218" s="7" t="str">
        <f t="shared" si="11"/>
        <v>High Risk</v>
      </c>
      <c r="L218" s="7">
        <f>IF(J218="High Risk",COUNTIF($J$3:J218,"High Risk"),"")</f>
        <v>42</v>
      </c>
      <c r="M218" s="7">
        <f>RANK(H218,$H$3:$H$1002,0)+COUNTIF($H$3:H218,H218)-1</f>
        <v>986</v>
      </c>
    </row>
    <row r="219" spans="1:13" x14ac:dyDescent="0.35">
      <c r="A219" s="7" t="s">
        <v>477</v>
      </c>
      <c r="B219" s="7" t="s">
        <v>110</v>
      </c>
      <c r="C219" s="8" t="s">
        <v>62</v>
      </c>
      <c r="D219" s="8" t="s">
        <v>57</v>
      </c>
      <c r="E219" s="8">
        <v>85.5</v>
      </c>
      <c r="F219" s="8">
        <v>6</v>
      </c>
      <c r="G219" s="8">
        <v>50</v>
      </c>
      <c r="H219" s="7">
        <f t="shared" si="9"/>
        <v>63.7</v>
      </c>
      <c r="I219" s="7" t="str">
        <f t="shared" si="10"/>
        <v>PASS</v>
      </c>
      <c r="J219" s="7" t="str">
        <f t="shared" si="11"/>
        <v>Medium Risk</v>
      </c>
      <c r="L219" s="7" t="str">
        <f>IF(J219="High Risk",COUNTIF($J$3:J219,"High Risk"),"")</f>
        <v/>
      </c>
      <c r="M219" s="7">
        <f>RANK(H219,$H$3:$H$1002,0)+COUNTIF($H$3:H219,H219)-1</f>
        <v>556</v>
      </c>
    </row>
    <row r="220" spans="1:13" x14ac:dyDescent="0.35">
      <c r="A220" s="7" t="s">
        <v>478</v>
      </c>
      <c r="B220" s="7" t="s">
        <v>218</v>
      </c>
      <c r="C220" s="8" t="s">
        <v>62</v>
      </c>
      <c r="D220" s="8" t="s">
        <v>63</v>
      </c>
      <c r="E220" s="8">
        <v>61.1</v>
      </c>
      <c r="F220" s="8">
        <v>3.7</v>
      </c>
      <c r="G220" s="8">
        <v>57</v>
      </c>
      <c r="H220" s="7">
        <f t="shared" si="9"/>
        <v>52.2</v>
      </c>
      <c r="I220" s="7" t="str">
        <f t="shared" si="10"/>
        <v>PASS</v>
      </c>
      <c r="J220" s="7" t="str">
        <f t="shared" si="11"/>
        <v>Medium Risk</v>
      </c>
      <c r="L220" s="7" t="str">
        <f>IF(J220="High Risk",COUNTIF($J$3:J220,"High Risk"),"")</f>
        <v/>
      </c>
      <c r="M220" s="7">
        <f>RANK(H220,$H$3:$H$1002,0)+COUNTIF($H$3:H220,H220)-1</f>
        <v>767</v>
      </c>
    </row>
    <row r="221" spans="1:13" x14ac:dyDescent="0.35">
      <c r="A221" s="7" t="s">
        <v>479</v>
      </c>
      <c r="B221" s="7" t="s">
        <v>480</v>
      </c>
      <c r="C221" s="8" t="s">
        <v>56</v>
      </c>
      <c r="D221" s="8" t="s">
        <v>75</v>
      </c>
      <c r="E221" s="8">
        <v>86</v>
      </c>
      <c r="F221" s="8">
        <v>9.3000000000000007</v>
      </c>
      <c r="G221" s="8">
        <v>82</v>
      </c>
      <c r="H221" s="7">
        <f t="shared" si="9"/>
        <v>86.5</v>
      </c>
      <c r="I221" s="7" t="str">
        <f t="shared" si="10"/>
        <v>PASS</v>
      </c>
      <c r="J221" s="7" t="str">
        <f t="shared" si="11"/>
        <v>Low Risk</v>
      </c>
      <c r="L221" s="7" t="str">
        <f>IF(J221="High Risk",COUNTIF($J$3:J221,"High Risk"),"")</f>
        <v/>
      </c>
      <c r="M221" s="7">
        <f>RANK(H221,$H$3:$H$1002,0)+COUNTIF($H$3:H221,H221)-1</f>
        <v>146</v>
      </c>
    </row>
    <row r="222" spans="1:13" x14ac:dyDescent="0.35">
      <c r="A222" s="7" t="s">
        <v>481</v>
      </c>
      <c r="B222" s="7" t="s">
        <v>482</v>
      </c>
      <c r="C222" s="8" t="s">
        <v>56</v>
      </c>
      <c r="D222" s="8" t="s">
        <v>63</v>
      </c>
      <c r="E222" s="8">
        <v>37.700000000000003</v>
      </c>
      <c r="F222" s="8">
        <v>1.6</v>
      </c>
      <c r="G222" s="8">
        <v>34</v>
      </c>
      <c r="H222" s="7">
        <f t="shared" si="9"/>
        <v>29.7</v>
      </c>
      <c r="I222" s="7" t="str">
        <f t="shared" si="10"/>
        <v>FAIL</v>
      </c>
      <c r="J222" s="7" t="str">
        <f t="shared" si="11"/>
        <v>High Risk</v>
      </c>
      <c r="L222" s="7">
        <f>IF(J222="High Risk",COUNTIF($J$3:J222,"High Risk"),"")</f>
        <v>43</v>
      </c>
      <c r="M222" s="7">
        <f>RANK(H222,$H$3:$H$1002,0)+COUNTIF($H$3:H222,H222)-1</f>
        <v>966</v>
      </c>
    </row>
    <row r="223" spans="1:13" x14ac:dyDescent="0.35">
      <c r="A223" s="7" t="s">
        <v>483</v>
      </c>
      <c r="B223" s="7" t="s">
        <v>484</v>
      </c>
      <c r="C223" s="8" t="s">
        <v>56</v>
      </c>
      <c r="D223" s="8" t="s">
        <v>68</v>
      </c>
      <c r="E223" s="8">
        <v>61.9</v>
      </c>
      <c r="F223" s="8">
        <v>5.8</v>
      </c>
      <c r="G223" s="8">
        <v>48</v>
      </c>
      <c r="H223" s="7">
        <f t="shared" si="9"/>
        <v>55.2</v>
      </c>
      <c r="I223" s="7" t="str">
        <f t="shared" si="10"/>
        <v>PASS</v>
      </c>
      <c r="J223" s="7" t="str">
        <f t="shared" si="11"/>
        <v>Medium Risk</v>
      </c>
      <c r="L223" s="7" t="str">
        <f>IF(J223="High Risk",COUNTIF($J$3:J223,"High Risk"),"")</f>
        <v/>
      </c>
      <c r="M223" s="7">
        <f>RANK(H223,$H$3:$H$1002,0)+COUNTIF($H$3:H223,H223)-1</f>
        <v>709</v>
      </c>
    </row>
    <row r="224" spans="1:13" x14ac:dyDescent="0.35">
      <c r="A224" s="7" t="s">
        <v>485</v>
      </c>
      <c r="B224" s="7" t="s">
        <v>486</v>
      </c>
      <c r="C224" s="8" t="s">
        <v>56</v>
      </c>
      <c r="D224" s="8" t="s">
        <v>63</v>
      </c>
      <c r="E224" s="8">
        <v>57.2</v>
      </c>
      <c r="F224" s="8">
        <v>0.3</v>
      </c>
      <c r="G224" s="8">
        <v>55</v>
      </c>
      <c r="H224" s="7">
        <f t="shared" si="9"/>
        <v>40.1</v>
      </c>
      <c r="I224" s="7" t="str">
        <f t="shared" si="10"/>
        <v>FAIL</v>
      </c>
      <c r="J224" s="7" t="str">
        <f t="shared" si="11"/>
        <v>High Risk</v>
      </c>
      <c r="L224" s="7">
        <f>IF(J224="High Risk",COUNTIF($J$3:J224,"High Risk"),"")</f>
        <v>44</v>
      </c>
      <c r="M224" s="7">
        <f>RANK(H224,$H$3:$H$1002,0)+COUNTIF($H$3:H224,H224)-1</f>
        <v>904</v>
      </c>
    </row>
    <row r="225" spans="1:13" x14ac:dyDescent="0.35">
      <c r="A225" s="7" t="s">
        <v>487</v>
      </c>
      <c r="B225" s="7" t="s">
        <v>488</v>
      </c>
      <c r="C225" s="8" t="s">
        <v>56</v>
      </c>
      <c r="D225" s="8" t="s">
        <v>75</v>
      </c>
      <c r="E225" s="8">
        <v>77.900000000000006</v>
      </c>
      <c r="F225" s="8">
        <v>7.5</v>
      </c>
      <c r="G225" s="8">
        <v>72</v>
      </c>
      <c r="H225" s="7">
        <f t="shared" si="9"/>
        <v>74.7</v>
      </c>
      <c r="I225" s="7" t="str">
        <f t="shared" si="10"/>
        <v>PASS</v>
      </c>
      <c r="J225" s="7" t="str">
        <f t="shared" si="11"/>
        <v>Low Risk</v>
      </c>
      <c r="L225" s="7" t="str">
        <f>IF(J225="High Risk",COUNTIF($J$3:J225,"High Risk"),"")</f>
        <v/>
      </c>
      <c r="M225" s="7">
        <f>RANK(H225,$H$3:$H$1002,0)+COUNTIF($H$3:H225,H225)-1</f>
        <v>328</v>
      </c>
    </row>
    <row r="226" spans="1:13" x14ac:dyDescent="0.35">
      <c r="A226" s="7" t="s">
        <v>489</v>
      </c>
      <c r="B226" s="7" t="s">
        <v>490</v>
      </c>
      <c r="C226" s="8" t="s">
        <v>56</v>
      </c>
      <c r="D226" s="8" t="s">
        <v>68</v>
      </c>
      <c r="E226" s="8">
        <v>99.8</v>
      </c>
      <c r="F226" s="8">
        <v>5.5</v>
      </c>
      <c r="G226" s="8">
        <v>70</v>
      </c>
      <c r="H226" s="7">
        <f t="shared" si="9"/>
        <v>74.400000000000006</v>
      </c>
      <c r="I226" s="7" t="str">
        <f t="shared" si="10"/>
        <v>PASS</v>
      </c>
      <c r="J226" s="7" t="str">
        <f t="shared" si="11"/>
        <v>Low Risk</v>
      </c>
      <c r="L226" s="7" t="str">
        <f>IF(J226="High Risk",COUNTIF($J$3:J226,"High Risk"),"")</f>
        <v/>
      </c>
      <c r="M226" s="7">
        <f>RANK(H226,$H$3:$H$1002,0)+COUNTIF($H$3:H226,H226)-1</f>
        <v>332</v>
      </c>
    </row>
    <row r="227" spans="1:13" x14ac:dyDescent="0.35">
      <c r="A227" s="7" t="s">
        <v>491</v>
      </c>
      <c r="B227" s="7" t="s">
        <v>492</v>
      </c>
      <c r="C227" s="8" t="s">
        <v>56</v>
      </c>
      <c r="D227" s="8" t="s">
        <v>63</v>
      </c>
      <c r="E227" s="8">
        <v>66.3</v>
      </c>
      <c r="F227" s="8">
        <v>4</v>
      </c>
      <c r="G227" s="8">
        <v>66</v>
      </c>
      <c r="H227" s="7">
        <f t="shared" si="9"/>
        <v>58.3</v>
      </c>
      <c r="I227" s="7" t="str">
        <f t="shared" si="10"/>
        <v>PASS</v>
      </c>
      <c r="J227" s="7" t="str">
        <f t="shared" si="11"/>
        <v>Medium Risk</v>
      </c>
      <c r="L227" s="7" t="str">
        <f>IF(J227="High Risk",COUNTIF($J$3:J227,"High Risk"),"")</f>
        <v/>
      </c>
      <c r="M227" s="7">
        <f>RANK(H227,$H$3:$H$1002,0)+COUNTIF($H$3:H227,H227)-1</f>
        <v>656</v>
      </c>
    </row>
    <row r="228" spans="1:13" x14ac:dyDescent="0.35">
      <c r="A228" s="7" t="s">
        <v>493</v>
      </c>
      <c r="B228" s="7" t="s">
        <v>494</v>
      </c>
      <c r="C228" s="8" t="s">
        <v>56</v>
      </c>
      <c r="D228" s="8" t="s">
        <v>57</v>
      </c>
      <c r="E228" s="8">
        <v>51.3</v>
      </c>
      <c r="F228" s="8">
        <v>1.1000000000000001</v>
      </c>
      <c r="G228" s="8">
        <v>44</v>
      </c>
      <c r="H228" s="7">
        <f t="shared" si="9"/>
        <v>36.299999999999997</v>
      </c>
      <c r="I228" s="7" t="str">
        <f t="shared" si="10"/>
        <v>FAIL</v>
      </c>
      <c r="J228" s="7" t="str">
        <f t="shared" si="11"/>
        <v>High Risk</v>
      </c>
      <c r="L228" s="7">
        <f>IF(J228="High Risk",COUNTIF($J$3:J228,"High Risk"),"")</f>
        <v>45</v>
      </c>
      <c r="M228" s="7">
        <f>RANK(H228,$H$3:$H$1002,0)+COUNTIF($H$3:H228,H228)-1</f>
        <v>936</v>
      </c>
    </row>
    <row r="229" spans="1:13" x14ac:dyDescent="0.35">
      <c r="A229" s="7" t="s">
        <v>495</v>
      </c>
      <c r="B229" s="7" t="s">
        <v>496</v>
      </c>
      <c r="C229" s="8" t="s">
        <v>56</v>
      </c>
      <c r="D229" s="8" t="s">
        <v>57</v>
      </c>
      <c r="E229" s="8">
        <v>98.8</v>
      </c>
      <c r="F229" s="8">
        <v>7.1</v>
      </c>
      <c r="G229" s="8">
        <v>81</v>
      </c>
      <c r="H229" s="7">
        <f t="shared" si="9"/>
        <v>83.3</v>
      </c>
      <c r="I229" s="7" t="str">
        <f t="shared" si="10"/>
        <v>PASS</v>
      </c>
      <c r="J229" s="7" t="str">
        <f t="shared" si="11"/>
        <v>Low Risk</v>
      </c>
      <c r="L229" s="7" t="str">
        <f>IF(J229="High Risk",COUNTIF($J$3:J229,"High Risk"),"")</f>
        <v/>
      </c>
      <c r="M229" s="7">
        <f>RANK(H229,$H$3:$H$1002,0)+COUNTIF($H$3:H229,H229)-1</f>
        <v>189</v>
      </c>
    </row>
    <row r="230" spans="1:13" x14ac:dyDescent="0.35">
      <c r="A230" s="7" t="s">
        <v>497</v>
      </c>
      <c r="B230" s="7" t="s">
        <v>498</v>
      </c>
      <c r="C230" s="8" t="s">
        <v>62</v>
      </c>
      <c r="D230" s="8" t="s">
        <v>57</v>
      </c>
      <c r="E230" s="8">
        <v>83</v>
      </c>
      <c r="F230" s="8">
        <v>7.4</v>
      </c>
      <c r="G230" s="8">
        <v>75</v>
      </c>
      <c r="H230" s="7">
        <f t="shared" si="9"/>
        <v>77.099999999999994</v>
      </c>
      <c r="I230" s="7" t="str">
        <f t="shared" si="10"/>
        <v>PASS</v>
      </c>
      <c r="J230" s="7" t="str">
        <f t="shared" si="11"/>
        <v>Low Risk</v>
      </c>
      <c r="L230" s="7" t="str">
        <f>IF(J230="High Risk",COUNTIF($J$3:J230,"High Risk"),"")</f>
        <v/>
      </c>
      <c r="M230" s="7">
        <f>RANK(H230,$H$3:$H$1002,0)+COUNTIF($H$3:H230,H230)-1</f>
        <v>288</v>
      </c>
    </row>
    <row r="231" spans="1:13" x14ac:dyDescent="0.35">
      <c r="A231" s="7" t="s">
        <v>499</v>
      </c>
      <c r="B231" s="7" t="s">
        <v>500</v>
      </c>
      <c r="C231" s="8" t="s">
        <v>56</v>
      </c>
      <c r="D231" s="8" t="s">
        <v>63</v>
      </c>
      <c r="E231" s="8">
        <v>76.3</v>
      </c>
      <c r="F231" s="8">
        <v>7.5</v>
      </c>
      <c r="G231" s="8">
        <v>66</v>
      </c>
      <c r="H231" s="7">
        <f t="shared" si="9"/>
        <v>71.8</v>
      </c>
      <c r="I231" s="7" t="str">
        <f t="shared" si="10"/>
        <v>PASS</v>
      </c>
      <c r="J231" s="7" t="str">
        <f t="shared" si="11"/>
        <v>Low Risk</v>
      </c>
      <c r="L231" s="7" t="str">
        <f>IF(J231="High Risk",COUNTIF($J$3:J231,"High Risk"),"")</f>
        <v/>
      </c>
      <c r="M231" s="7">
        <f>RANK(H231,$H$3:$H$1002,0)+COUNTIF($H$3:H231,H231)-1</f>
        <v>392</v>
      </c>
    </row>
    <row r="232" spans="1:13" x14ac:dyDescent="0.35">
      <c r="A232" s="7" t="s">
        <v>501</v>
      </c>
      <c r="B232" s="7" t="s">
        <v>502</v>
      </c>
      <c r="C232" s="8" t="s">
        <v>62</v>
      </c>
      <c r="D232" s="8" t="s">
        <v>75</v>
      </c>
      <c r="E232" s="8">
        <v>100</v>
      </c>
      <c r="F232" s="8">
        <v>6.8</v>
      </c>
      <c r="G232" s="8">
        <v>100</v>
      </c>
      <c r="H232" s="7">
        <f t="shared" si="9"/>
        <v>90.4</v>
      </c>
      <c r="I232" s="7" t="str">
        <f t="shared" si="10"/>
        <v>PASS</v>
      </c>
      <c r="J232" s="7" t="str">
        <f t="shared" si="11"/>
        <v>Low Risk</v>
      </c>
      <c r="L232" s="7" t="str">
        <f>IF(J232="High Risk",COUNTIF($J$3:J232,"High Risk"),"")</f>
        <v/>
      </c>
      <c r="M232" s="7">
        <f>RANK(H232,$H$3:$H$1002,0)+COUNTIF($H$3:H232,H232)-1</f>
        <v>104</v>
      </c>
    </row>
    <row r="233" spans="1:13" x14ac:dyDescent="0.35">
      <c r="A233" s="7" t="s">
        <v>503</v>
      </c>
      <c r="B233" s="7" t="s">
        <v>504</v>
      </c>
      <c r="C233" s="8" t="s">
        <v>62</v>
      </c>
      <c r="D233" s="8" t="s">
        <v>63</v>
      </c>
      <c r="E233" s="8">
        <v>67.599999999999994</v>
      </c>
      <c r="F233" s="8">
        <v>4.9000000000000004</v>
      </c>
      <c r="G233" s="8">
        <v>61</v>
      </c>
      <c r="H233" s="7">
        <f t="shared" si="9"/>
        <v>59.4</v>
      </c>
      <c r="I233" s="7" t="str">
        <f t="shared" si="10"/>
        <v>PASS</v>
      </c>
      <c r="J233" s="7" t="str">
        <f t="shared" si="11"/>
        <v>Medium Risk</v>
      </c>
      <c r="L233" s="7" t="str">
        <f>IF(J233="High Risk",COUNTIF($J$3:J233,"High Risk"),"")</f>
        <v/>
      </c>
      <c r="M233" s="7">
        <f>RANK(H233,$H$3:$H$1002,0)+COUNTIF($H$3:H233,H233)-1</f>
        <v>634</v>
      </c>
    </row>
    <row r="234" spans="1:13" x14ac:dyDescent="0.35">
      <c r="A234" s="7" t="s">
        <v>505</v>
      </c>
      <c r="B234" s="7" t="s">
        <v>506</v>
      </c>
      <c r="C234" s="8" t="s">
        <v>62</v>
      </c>
      <c r="D234" s="8" t="s">
        <v>57</v>
      </c>
      <c r="E234" s="8">
        <v>78.900000000000006</v>
      </c>
      <c r="F234" s="8">
        <v>4.4000000000000004</v>
      </c>
      <c r="G234" s="8">
        <v>58</v>
      </c>
      <c r="H234" s="7">
        <f t="shared" si="9"/>
        <v>60.1</v>
      </c>
      <c r="I234" s="7" t="str">
        <f t="shared" si="10"/>
        <v>PASS</v>
      </c>
      <c r="J234" s="7" t="str">
        <f t="shared" si="11"/>
        <v>Medium Risk</v>
      </c>
      <c r="L234" s="7" t="str">
        <f>IF(J234="High Risk",COUNTIF($J$3:J234,"High Risk"),"")</f>
        <v/>
      </c>
      <c r="M234" s="7">
        <f>RANK(H234,$H$3:$H$1002,0)+COUNTIF($H$3:H234,H234)-1</f>
        <v>618</v>
      </c>
    </row>
    <row r="235" spans="1:13" x14ac:dyDescent="0.35">
      <c r="A235" s="7" t="s">
        <v>507</v>
      </c>
      <c r="B235" s="7" t="s">
        <v>508</v>
      </c>
      <c r="C235" s="8" t="s">
        <v>56</v>
      </c>
      <c r="D235" s="8" t="s">
        <v>68</v>
      </c>
      <c r="E235" s="8">
        <v>68.099999999999994</v>
      </c>
      <c r="F235" s="8">
        <v>8.9</v>
      </c>
      <c r="G235" s="8">
        <v>83</v>
      </c>
      <c r="H235" s="7">
        <f t="shared" si="9"/>
        <v>80.3</v>
      </c>
      <c r="I235" s="7" t="str">
        <f t="shared" si="10"/>
        <v>PASS</v>
      </c>
      <c r="J235" s="7" t="str">
        <f t="shared" si="11"/>
        <v>Low Risk</v>
      </c>
      <c r="L235" s="7" t="str">
        <f>IF(J235="High Risk",COUNTIF($J$3:J235,"High Risk"),"")</f>
        <v/>
      </c>
      <c r="M235" s="7">
        <f>RANK(H235,$H$3:$H$1002,0)+COUNTIF($H$3:H235,H235)-1</f>
        <v>239</v>
      </c>
    </row>
    <row r="236" spans="1:13" x14ac:dyDescent="0.35">
      <c r="A236" s="7" t="s">
        <v>509</v>
      </c>
      <c r="B236" s="7" t="s">
        <v>510</v>
      </c>
      <c r="C236" s="8" t="s">
        <v>62</v>
      </c>
      <c r="D236" s="8" t="s">
        <v>75</v>
      </c>
      <c r="E236" s="8">
        <v>100</v>
      </c>
      <c r="F236" s="8">
        <v>7.3</v>
      </c>
      <c r="G236" s="8">
        <v>100</v>
      </c>
      <c r="H236" s="7">
        <f t="shared" si="9"/>
        <v>91.9</v>
      </c>
      <c r="I236" s="7" t="str">
        <f t="shared" si="10"/>
        <v>PASS</v>
      </c>
      <c r="J236" s="7" t="str">
        <f t="shared" si="11"/>
        <v>Low Risk</v>
      </c>
      <c r="L236" s="7" t="str">
        <f>IF(J236="High Risk",COUNTIF($J$3:J236,"High Risk"),"")</f>
        <v/>
      </c>
      <c r="M236" s="7">
        <f>RANK(H236,$H$3:$H$1002,0)+COUNTIF($H$3:H236,H236)-1</f>
        <v>82</v>
      </c>
    </row>
    <row r="237" spans="1:13" x14ac:dyDescent="0.35">
      <c r="A237" s="7" t="s">
        <v>511</v>
      </c>
      <c r="B237" s="7" t="s">
        <v>512</v>
      </c>
      <c r="C237" s="8" t="s">
        <v>56</v>
      </c>
      <c r="D237" s="8" t="s">
        <v>57</v>
      </c>
      <c r="E237" s="8">
        <v>81.599999999999994</v>
      </c>
      <c r="F237" s="8">
        <v>6.8</v>
      </c>
      <c r="G237" s="8">
        <v>52</v>
      </c>
      <c r="H237" s="7">
        <f t="shared" si="9"/>
        <v>65.7</v>
      </c>
      <c r="I237" s="7" t="str">
        <f t="shared" si="10"/>
        <v>PASS</v>
      </c>
      <c r="J237" s="7" t="str">
        <f t="shared" si="11"/>
        <v>Low Risk</v>
      </c>
      <c r="L237" s="7" t="str">
        <f>IF(J237="High Risk",COUNTIF($J$3:J237,"High Risk"),"")</f>
        <v/>
      </c>
      <c r="M237" s="7">
        <f>RANK(H237,$H$3:$H$1002,0)+COUNTIF($H$3:H237,H237)-1</f>
        <v>519</v>
      </c>
    </row>
    <row r="238" spans="1:13" x14ac:dyDescent="0.35">
      <c r="A238" s="7" t="s">
        <v>513</v>
      </c>
      <c r="B238" s="7" t="s">
        <v>514</v>
      </c>
      <c r="C238" s="8" t="s">
        <v>62</v>
      </c>
      <c r="D238" s="8" t="s">
        <v>68</v>
      </c>
      <c r="E238" s="8">
        <v>53.8</v>
      </c>
      <c r="F238" s="8">
        <v>0.9</v>
      </c>
      <c r="G238" s="8">
        <v>25</v>
      </c>
      <c r="H238" s="7">
        <f t="shared" si="9"/>
        <v>28.8</v>
      </c>
      <c r="I238" s="7" t="str">
        <f t="shared" si="10"/>
        <v>FAIL</v>
      </c>
      <c r="J238" s="7" t="str">
        <f t="shared" si="11"/>
        <v>High Risk</v>
      </c>
      <c r="L238" s="7">
        <f>IF(J238="High Risk",COUNTIF($J$3:J238,"High Risk"),"")</f>
        <v>46</v>
      </c>
      <c r="M238" s="7">
        <f>RANK(H238,$H$3:$H$1002,0)+COUNTIF($H$3:H238,H238)-1</f>
        <v>971</v>
      </c>
    </row>
    <row r="239" spans="1:13" x14ac:dyDescent="0.35">
      <c r="A239" s="7" t="s">
        <v>515</v>
      </c>
      <c r="B239" s="7" t="s">
        <v>516</v>
      </c>
      <c r="C239" s="8" t="s">
        <v>62</v>
      </c>
      <c r="D239" s="8" t="s">
        <v>57</v>
      </c>
      <c r="E239" s="8">
        <v>59</v>
      </c>
      <c r="F239" s="8">
        <v>3.4</v>
      </c>
      <c r="G239" s="8">
        <v>59</v>
      </c>
      <c r="H239" s="7">
        <f t="shared" si="9"/>
        <v>51.5</v>
      </c>
      <c r="I239" s="7" t="str">
        <f t="shared" si="10"/>
        <v>PASS</v>
      </c>
      <c r="J239" s="7" t="str">
        <f t="shared" si="11"/>
        <v>Medium Risk</v>
      </c>
      <c r="L239" s="7" t="str">
        <f>IF(J239="High Risk",COUNTIF($J$3:J239,"High Risk"),"")</f>
        <v/>
      </c>
      <c r="M239" s="7">
        <f>RANK(H239,$H$3:$H$1002,0)+COUNTIF($H$3:H239,H239)-1</f>
        <v>777</v>
      </c>
    </row>
    <row r="240" spans="1:13" x14ac:dyDescent="0.35">
      <c r="A240" s="7" t="s">
        <v>517</v>
      </c>
      <c r="B240" s="7" t="s">
        <v>518</v>
      </c>
      <c r="C240" s="8" t="s">
        <v>62</v>
      </c>
      <c r="D240" s="8" t="s">
        <v>57</v>
      </c>
      <c r="E240" s="8">
        <v>96.8</v>
      </c>
      <c r="F240" s="8">
        <v>13.4</v>
      </c>
      <c r="G240" s="8">
        <v>100</v>
      </c>
      <c r="H240" s="7">
        <f t="shared" si="9"/>
        <v>99</v>
      </c>
      <c r="I240" s="7" t="str">
        <f t="shared" si="10"/>
        <v>PASS</v>
      </c>
      <c r="J240" s="7" t="str">
        <f t="shared" si="11"/>
        <v>Low Risk</v>
      </c>
      <c r="L240" s="7" t="str">
        <f>IF(J240="High Risk",COUNTIF($J$3:J240,"High Risk"),"")</f>
        <v/>
      </c>
      <c r="M240" s="7">
        <f>RANK(H240,$H$3:$H$1002,0)+COUNTIF($H$3:H240,H240)-1</f>
        <v>21</v>
      </c>
    </row>
    <row r="241" spans="1:13" x14ac:dyDescent="0.35">
      <c r="A241" s="7" t="s">
        <v>519</v>
      </c>
      <c r="B241" s="7" t="s">
        <v>520</v>
      </c>
      <c r="C241" s="8" t="s">
        <v>62</v>
      </c>
      <c r="D241" s="8" t="s">
        <v>68</v>
      </c>
      <c r="E241" s="8">
        <v>58.9</v>
      </c>
      <c r="F241" s="8">
        <v>5.3</v>
      </c>
      <c r="G241" s="8">
        <v>59</v>
      </c>
      <c r="H241" s="7">
        <f t="shared" si="9"/>
        <v>57.2</v>
      </c>
      <c r="I241" s="7" t="str">
        <f t="shared" si="10"/>
        <v>PASS</v>
      </c>
      <c r="J241" s="7" t="str">
        <f t="shared" si="11"/>
        <v>Medium Risk</v>
      </c>
      <c r="L241" s="7" t="str">
        <f>IF(J241="High Risk",COUNTIF($J$3:J241,"High Risk"),"")</f>
        <v/>
      </c>
      <c r="M241" s="7">
        <f>RANK(H241,$H$3:$H$1002,0)+COUNTIF($H$3:H241,H241)-1</f>
        <v>678</v>
      </c>
    </row>
    <row r="242" spans="1:13" x14ac:dyDescent="0.35">
      <c r="A242" s="7" t="s">
        <v>521</v>
      </c>
      <c r="B242" s="7" t="s">
        <v>522</v>
      </c>
      <c r="C242" s="8" t="s">
        <v>62</v>
      </c>
      <c r="D242" s="8" t="s">
        <v>57</v>
      </c>
      <c r="E242" s="8">
        <v>89.3</v>
      </c>
      <c r="F242" s="8">
        <v>5.5</v>
      </c>
      <c r="G242" s="8">
        <v>75</v>
      </c>
      <c r="H242" s="7">
        <f t="shared" si="9"/>
        <v>73.3</v>
      </c>
      <c r="I242" s="7" t="str">
        <f t="shared" si="10"/>
        <v>PASS</v>
      </c>
      <c r="J242" s="7" t="str">
        <f t="shared" si="11"/>
        <v>Low Risk</v>
      </c>
      <c r="L242" s="7" t="str">
        <f>IF(J242="High Risk",COUNTIF($J$3:J242,"High Risk"),"")</f>
        <v/>
      </c>
      <c r="M242" s="7">
        <f>RANK(H242,$H$3:$H$1002,0)+COUNTIF($H$3:H242,H242)-1</f>
        <v>354</v>
      </c>
    </row>
    <row r="243" spans="1:13" x14ac:dyDescent="0.35">
      <c r="A243" s="7" t="s">
        <v>523</v>
      </c>
      <c r="B243" s="7" t="s">
        <v>524</v>
      </c>
      <c r="C243" s="8" t="s">
        <v>56</v>
      </c>
      <c r="D243" s="8" t="s">
        <v>63</v>
      </c>
      <c r="E243" s="8">
        <v>100</v>
      </c>
      <c r="F243" s="8">
        <v>9.9</v>
      </c>
      <c r="G243" s="8">
        <v>83</v>
      </c>
      <c r="H243" s="7">
        <f t="shared" si="9"/>
        <v>92.9</v>
      </c>
      <c r="I243" s="7" t="str">
        <f t="shared" si="10"/>
        <v>PASS</v>
      </c>
      <c r="J243" s="7" t="str">
        <f t="shared" si="11"/>
        <v>Low Risk</v>
      </c>
      <c r="L243" s="7" t="str">
        <f>IF(J243="High Risk",COUNTIF($J$3:J243,"High Risk"),"")</f>
        <v/>
      </c>
      <c r="M243" s="7">
        <f>RANK(H243,$H$3:$H$1002,0)+COUNTIF($H$3:H243,H243)-1</f>
        <v>74</v>
      </c>
    </row>
    <row r="244" spans="1:13" x14ac:dyDescent="0.35">
      <c r="A244" s="7" t="s">
        <v>525</v>
      </c>
      <c r="B244" s="7" t="s">
        <v>526</v>
      </c>
      <c r="C244" s="8" t="s">
        <v>62</v>
      </c>
      <c r="D244" s="8" t="s">
        <v>75</v>
      </c>
      <c r="E244" s="8">
        <v>56.4</v>
      </c>
      <c r="F244" s="8">
        <v>2.5</v>
      </c>
      <c r="G244" s="8">
        <v>46</v>
      </c>
      <c r="H244" s="7">
        <f t="shared" si="9"/>
        <v>42.8</v>
      </c>
      <c r="I244" s="7" t="str">
        <f t="shared" si="10"/>
        <v>FAIL</v>
      </c>
      <c r="J244" s="7" t="str">
        <f t="shared" si="11"/>
        <v>High Risk</v>
      </c>
      <c r="L244" s="7">
        <f>IF(J244="High Risk",COUNTIF($J$3:J244,"High Risk"),"")</f>
        <v>47</v>
      </c>
      <c r="M244" s="7">
        <f>RANK(H244,$H$3:$H$1002,0)+COUNTIF($H$3:H244,H244)-1</f>
        <v>873</v>
      </c>
    </row>
    <row r="245" spans="1:13" x14ac:dyDescent="0.35">
      <c r="A245" s="7" t="s">
        <v>527</v>
      </c>
      <c r="B245" s="7" t="s">
        <v>366</v>
      </c>
      <c r="C245" s="8" t="s">
        <v>62</v>
      </c>
      <c r="D245" s="8" t="s">
        <v>68</v>
      </c>
      <c r="E245" s="8">
        <v>44.7</v>
      </c>
      <c r="F245" s="8">
        <v>1.7</v>
      </c>
      <c r="G245" s="8">
        <v>31</v>
      </c>
      <c r="H245" s="7">
        <f t="shared" si="9"/>
        <v>30.9</v>
      </c>
      <c r="I245" s="7" t="str">
        <f t="shared" si="10"/>
        <v>FAIL</v>
      </c>
      <c r="J245" s="7" t="str">
        <f t="shared" si="11"/>
        <v>High Risk</v>
      </c>
      <c r="L245" s="7">
        <f>IF(J245="High Risk",COUNTIF($J$3:J245,"High Risk"),"")</f>
        <v>48</v>
      </c>
      <c r="M245" s="7">
        <f>RANK(H245,$H$3:$H$1002,0)+COUNTIF($H$3:H245,H245)-1</f>
        <v>961</v>
      </c>
    </row>
    <row r="246" spans="1:13" x14ac:dyDescent="0.35">
      <c r="A246" s="7" t="s">
        <v>528</v>
      </c>
      <c r="B246" s="7" t="s">
        <v>529</v>
      </c>
      <c r="C246" s="8" t="s">
        <v>56</v>
      </c>
      <c r="D246" s="8" t="s">
        <v>57</v>
      </c>
      <c r="E246" s="8">
        <v>34.799999999999997</v>
      </c>
      <c r="F246" s="8">
        <v>1.1000000000000001</v>
      </c>
      <c r="G246" s="8">
        <v>40</v>
      </c>
      <c r="H246" s="7">
        <f t="shared" si="9"/>
        <v>29.7</v>
      </c>
      <c r="I246" s="7" t="str">
        <f t="shared" si="10"/>
        <v>FAIL</v>
      </c>
      <c r="J246" s="7" t="str">
        <f t="shared" si="11"/>
        <v>High Risk</v>
      </c>
      <c r="L246" s="7">
        <f>IF(J246="High Risk",COUNTIF($J$3:J246,"High Risk"),"")</f>
        <v>49</v>
      </c>
      <c r="M246" s="7">
        <f>RANK(H246,$H$3:$H$1002,0)+COUNTIF($H$3:H246,H246)-1</f>
        <v>967</v>
      </c>
    </row>
    <row r="247" spans="1:13" x14ac:dyDescent="0.35">
      <c r="A247" s="7" t="s">
        <v>530</v>
      </c>
      <c r="B247" s="7" t="s">
        <v>531</v>
      </c>
      <c r="C247" s="8" t="s">
        <v>56</v>
      </c>
      <c r="D247" s="8" t="s">
        <v>57</v>
      </c>
      <c r="E247" s="8">
        <v>52.6</v>
      </c>
      <c r="F247" s="8">
        <v>4.2</v>
      </c>
      <c r="G247" s="8">
        <v>47</v>
      </c>
      <c r="H247" s="7">
        <f t="shared" si="9"/>
        <v>47.2</v>
      </c>
      <c r="I247" s="7" t="str">
        <f t="shared" si="10"/>
        <v>FAIL</v>
      </c>
      <c r="J247" s="7" t="str">
        <f t="shared" si="11"/>
        <v>High Risk</v>
      </c>
      <c r="L247" s="7">
        <f>IF(J247="High Risk",COUNTIF($J$3:J247,"High Risk"),"")</f>
        <v>50</v>
      </c>
      <c r="M247" s="7">
        <f>RANK(H247,$H$3:$H$1002,0)+COUNTIF($H$3:H247,H247)-1</f>
        <v>832</v>
      </c>
    </row>
    <row r="248" spans="1:13" x14ac:dyDescent="0.35">
      <c r="A248" s="7" t="s">
        <v>532</v>
      </c>
      <c r="B248" s="7" t="s">
        <v>124</v>
      </c>
      <c r="C248" s="8" t="s">
        <v>56</v>
      </c>
      <c r="D248" s="8" t="s">
        <v>68</v>
      </c>
      <c r="E248" s="8">
        <v>78.3</v>
      </c>
      <c r="F248" s="8">
        <v>6</v>
      </c>
      <c r="G248" s="8">
        <v>71</v>
      </c>
      <c r="H248" s="7">
        <f t="shared" si="9"/>
        <v>69.900000000000006</v>
      </c>
      <c r="I248" s="7" t="str">
        <f t="shared" si="10"/>
        <v>PASS</v>
      </c>
      <c r="J248" s="7" t="str">
        <f t="shared" si="11"/>
        <v>Low Risk</v>
      </c>
      <c r="L248" s="7" t="str">
        <f>IF(J248="High Risk",COUNTIF($J$3:J248,"High Risk"),"")</f>
        <v/>
      </c>
      <c r="M248" s="7">
        <f>RANK(H248,$H$3:$H$1002,0)+COUNTIF($H$3:H248,H248)-1</f>
        <v>433</v>
      </c>
    </row>
    <row r="249" spans="1:13" x14ac:dyDescent="0.35">
      <c r="A249" s="7" t="s">
        <v>533</v>
      </c>
      <c r="B249" s="7" t="s">
        <v>534</v>
      </c>
      <c r="C249" s="8" t="s">
        <v>56</v>
      </c>
      <c r="D249" s="8" t="s">
        <v>63</v>
      </c>
      <c r="E249" s="8">
        <v>94</v>
      </c>
      <c r="F249" s="8">
        <v>10.4</v>
      </c>
      <c r="G249" s="8">
        <v>89</v>
      </c>
      <c r="H249" s="7">
        <f t="shared" si="9"/>
        <v>93.8</v>
      </c>
      <c r="I249" s="7" t="str">
        <f t="shared" si="10"/>
        <v>PASS</v>
      </c>
      <c r="J249" s="7" t="str">
        <f t="shared" si="11"/>
        <v>Low Risk</v>
      </c>
      <c r="L249" s="7" t="str">
        <f>IF(J249="High Risk",COUNTIF($J$3:J249,"High Risk"),"")</f>
        <v/>
      </c>
      <c r="M249" s="7">
        <f>RANK(H249,$H$3:$H$1002,0)+COUNTIF($H$3:H249,H249)-1</f>
        <v>67</v>
      </c>
    </row>
    <row r="250" spans="1:13" x14ac:dyDescent="0.35">
      <c r="A250" s="7" t="s">
        <v>535</v>
      </c>
      <c r="B250" s="7" t="s">
        <v>536</v>
      </c>
      <c r="C250" s="8" t="s">
        <v>56</v>
      </c>
      <c r="D250" s="8" t="s">
        <v>63</v>
      </c>
      <c r="E250" s="8">
        <v>92</v>
      </c>
      <c r="F250" s="8">
        <v>5.6</v>
      </c>
      <c r="G250" s="8">
        <v>94</v>
      </c>
      <c r="H250" s="7">
        <f t="shared" si="9"/>
        <v>82</v>
      </c>
      <c r="I250" s="7" t="str">
        <f t="shared" si="10"/>
        <v>PASS</v>
      </c>
      <c r="J250" s="7" t="str">
        <f t="shared" si="11"/>
        <v>Low Risk</v>
      </c>
      <c r="L250" s="7" t="str">
        <f>IF(J250="High Risk",COUNTIF($J$3:J250,"High Risk"),"")</f>
        <v/>
      </c>
      <c r="M250" s="7">
        <f>RANK(H250,$H$3:$H$1002,0)+COUNTIF($H$3:H250,H250)-1</f>
        <v>213</v>
      </c>
    </row>
    <row r="251" spans="1:13" x14ac:dyDescent="0.35">
      <c r="A251" s="7" t="s">
        <v>537</v>
      </c>
      <c r="B251" s="7" t="s">
        <v>538</v>
      </c>
      <c r="C251" s="8" t="s">
        <v>62</v>
      </c>
      <c r="D251" s="8" t="s">
        <v>75</v>
      </c>
      <c r="E251" s="8">
        <v>70.2</v>
      </c>
      <c r="F251" s="8">
        <v>2.9</v>
      </c>
      <c r="G251" s="8">
        <v>39</v>
      </c>
      <c r="H251" s="7">
        <f t="shared" si="9"/>
        <v>45.4</v>
      </c>
      <c r="I251" s="7" t="str">
        <f t="shared" si="10"/>
        <v>FAIL</v>
      </c>
      <c r="J251" s="7" t="str">
        <f t="shared" si="11"/>
        <v>High Risk</v>
      </c>
      <c r="L251" s="7">
        <f>IF(J251="High Risk",COUNTIF($J$3:J251,"High Risk"),"")</f>
        <v>51</v>
      </c>
      <c r="M251" s="7">
        <f>RANK(H251,$H$3:$H$1002,0)+COUNTIF($H$3:H251,H251)-1</f>
        <v>849</v>
      </c>
    </row>
    <row r="252" spans="1:13" x14ac:dyDescent="0.35">
      <c r="A252" s="7" t="s">
        <v>539</v>
      </c>
      <c r="B252" s="7" t="s">
        <v>540</v>
      </c>
      <c r="C252" s="8" t="s">
        <v>62</v>
      </c>
      <c r="D252" s="8" t="s">
        <v>57</v>
      </c>
      <c r="E252" s="8">
        <v>85.6</v>
      </c>
      <c r="F252" s="8">
        <v>6.8</v>
      </c>
      <c r="G252" s="8">
        <v>84</v>
      </c>
      <c r="H252" s="7">
        <f t="shared" si="9"/>
        <v>79.7</v>
      </c>
      <c r="I252" s="7" t="str">
        <f t="shared" si="10"/>
        <v>PASS</v>
      </c>
      <c r="J252" s="7" t="str">
        <f t="shared" si="11"/>
        <v>Low Risk</v>
      </c>
      <c r="L252" s="7" t="str">
        <f>IF(J252="High Risk",COUNTIF($J$3:J252,"High Risk"),"")</f>
        <v/>
      </c>
      <c r="M252" s="7">
        <f>RANK(H252,$H$3:$H$1002,0)+COUNTIF($H$3:H252,H252)-1</f>
        <v>251</v>
      </c>
    </row>
    <row r="253" spans="1:13" x14ac:dyDescent="0.35">
      <c r="A253" s="7" t="s">
        <v>541</v>
      </c>
      <c r="B253" s="7" t="s">
        <v>542</v>
      </c>
      <c r="C253" s="8" t="s">
        <v>62</v>
      </c>
      <c r="D253" s="8" t="s">
        <v>63</v>
      </c>
      <c r="E253" s="8">
        <v>60</v>
      </c>
      <c r="F253" s="8">
        <v>2.6</v>
      </c>
      <c r="G253" s="8">
        <v>60</v>
      </c>
      <c r="H253" s="7">
        <f t="shared" si="9"/>
        <v>49.8</v>
      </c>
      <c r="I253" s="7" t="str">
        <f t="shared" si="10"/>
        <v>FAIL</v>
      </c>
      <c r="J253" s="7" t="str">
        <f t="shared" si="11"/>
        <v>High Risk</v>
      </c>
      <c r="L253" s="7">
        <f>IF(J253="High Risk",COUNTIF($J$3:J253,"High Risk"),"")</f>
        <v>52</v>
      </c>
      <c r="M253" s="7">
        <f>RANK(H253,$H$3:$H$1002,0)+COUNTIF($H$3:H253,H253)-1</f>
        <v>804</v>
      </c>
    </row>
    <row r="254" spans="1:13" x14ac:dyDescent="0.35">
      <c r="A254" s="7" t="s">
        <v>543</v>
      </c>
      <c r="B254" s="7" t="s">
        <v>544</v>
      </c>
      <c r="C254" s="8" t="s">
        <v>62</v>
      </c>
      <c r="D254" s="8" t="s">
        <v>63</v>
      </c>
      <c r="E254" s="8">
        <v>39.700000000000003</v>
      </c>
      <c r="F254" s="8">
        <v>0</v>
      </c>
      <c r="G254" s="8">
        <v>38</v>
      </c>
      <c r="H254" s="7">
        <f t="shared" si="9"/>
        <v>27.1</v>
      </c>
      <c r="I254" s="7" t="str">
        <f t="shared" si="10"/>
        <v>FAIL</v>
      </c>
      <c r="J254" s="7" t="str">
        <f t="shared" si="11"/>
        <v>High Risk</v>
      </c>
      <c r="L254" s="7">
        <f>IF(J254="High Risk",COUNTIF($J$3:J254,"High Risk"),"")</f>
        <v>53</v>
      </c>
      <c r="M254" s="7">
        <f>RANK(H254,$H$3:$H$1002,0)+COUNTIF($H$3:H254,H254)-1</f>
        <v>978</v>
      </c>
    </row>
    <row r="255" spans="1:13" x14ac:dyDescent="0.35">
      <c r="A255" s="7" t="s">
        <v>545</v>
      </c>
      <c r="B255" s="7" t="s">
        <v>546</v>
      </c>
      <c r="C255" s="8" t="s">
        <v>56</v>
      </c>
      <c r="D255" s="8" t="s">
        <v>75</v>
      </c>
      <c r="E255" s="8">
        <v>64.7</v>
      </c>
      <c r="F255" s="8">
        <v>4.2</v>
      </c>
      <c r="G255" s="8">
        <v>64</v>
      </c>
      <c r="H255" s="7">
        <f t="shared" si="9"/>
        <v>57.6</v>
      </c>
      <c r="I255" s="7" t="str">
        <f t="shared" si="10"/>
        <v>PASS</v>
      </c>
      <c r="J255" s="7" t="str">
        <f t="shared" si="11"/>
        <v>Medium Risk</v>
      </c>
      <c r="L255" s="7" t="str">
        <f>IF(J255="High Risk",COUNTIF($J$3:J255,"High Risk"),"")</f>
        <v/>
      </c>
      <c r="M255" s="7">
        <f>RANK(H255,$H$3:$H$1002,0)+COUNTIF($H$3:H255,H255)-1</f>
        <v>670</v>
      </c>
    </row>
    <row r="256" spans="1:13" x14ac:dyDescent="0.35">
      <c r="A256" s="7" t="s">
        <v>547</v>
      </c>
      <c r="B256" s="7" t="s">
        <v>548</v>
      </c>
      <c r="C256" s="8" t="s">
        <v>62</v>
      </c>
      <c r="D256" s="8" t="s">
        <v>68</v>
      </c>
      <c r="E256" s="8">
        <v>82.6</v>
      </c>
      <c r="F256" s="8">
        <v>5.5</v>
      </c>
      <c r="G256" s="8">
        <v>66</v>
      </c>
      <c r="H256" s="7">
        <f t="shared" si="9"/>
        <v>67.7</v>
      </c>
      <c r="I256" s="7" t="str">
        <f t="shared" si="10"/>
        <v>PASS</v>
      </c>
      <c r="J256" s="7" t="str">
        <f t="shared" si="11"/>
        <v>Low Risk</v>
      </c>
      <c r="L256" s="7" t="str">
        <f>IF(J256="High Risk",COUNTIF($J$3:J256,"High Risk"),"")</f>
        <v/>
      </c>
      <c r="M256" s="7">
        <f>RANK(H256,$H$3:$H$1002,0)+COUNTIF($H$3:H256,H256)-1</f>
        <v>480</v>
      </c>
    </row>
    <row r="257" spans="1:13" x14ac:dyDescent="0.35">
      <c r="A257" s="7" t="s">
        <v>549</v>
      </c>
      <c r="B257" s="7" t="s">
        <v>550</v>
      </c>
      <c r="C257" s="8" t="s">
        <v>56</v>
      </c>
      <c r="D257" s="8" t="s">
        <v>63</v>
      </c>
      <c r="E257" s="8">
        <v>51.8</v>
      </c>
      <c r="F257" s="8">
        <v>4.3</v>
      </c>
      <c r="G257" s="8">
        <v>46</v>
      </c>
      <c r="H257" s="7">
        <f t="shared" si="9"/>
        <v>46.8</v>
      </c>
      <c r="I257" s="7" t="str">
        <f t="shared" si="10"/>
        <v>FAIL</v>
      </c>
      <c r="J257" s="7" t="str">
        <f t="shared" si="11"/>
        <v>High Risk</v>
      </c>
      <c r="L257" s="7">
        <f>IF(J257="High Risk",COUNTIF($J$3:J257,"High Risk"),"")</f>
        <v>54</v>
      </c>
      <c r="M257" s="7">
        <f>RANK(H257,$H$3:$H$1002,0)+COUNTIF($H$3:H257,H257)-1</f>
        <v>839</v>
      </c>
    </row>
    <row r="258" spans="1:13" x14ac:dyDescent="0.35">
      <c r="A258" s="7" t="s">
        <v>551</v>
      </c>
      <c r="B258" s="7" t="s">
        <v>552</v>
      </c>
      <c r="C258" s="8" t="s">
        <v>62</v>
      </c>
      <c r="D258" s="8" t="s">
        <v>63</v>
      </c>
      <c r="E258" s="8">
        <v>94.3</v>
      </c>
      <c r="F258" s="8">
        <v>10.8</v>
      </c>
      <c r="G258" s="8">
        <v>81</v>
      </c>
      <c r="H258" s="7">
        <f t="shared" si="9"/>
        <v>90.7</v>
      </c>
      <c r="I258" s="7" t="str">
        <f t="shared" si="10"/>
        <v>PASS</v>
      </c>
      <c r="J258" s="7" t="str">
        <f t="shared" si="11"/>
        <v>Low Risk</v>
      </c>
      <c r="L258" s="7" t="str">
        <f>IF(J258="High Risk",COUNTIF($J$3:J258,"High Risk"),"")</f>
        <v/>
      </c>
      <c r="M258" s="7">
        <f>RANK(H258,$H$3:$H$1002,0)+COUNTIF($H$3:H258,H258)-1</f>
        <v>98</v>
      </c>
    </row>
    <row r="259" spans="1:13" x14ac:dyDescent="0.35">
      <c r="A259" s="7" t="s">
        <v>553</v>
      </c>
      <c r="B259" s="7" t="s">
        <v>554</v>
      </c>
      <c r="C259" s="8" t="s">
        <v>62</v>
      </c>
      <c r="D259" s="8" t="s">
        <v>57</v>
      </c>
      <c r="E259" s="8">
        <v>86.3</v>
      </c>
      <c r="F259" s="8">
        <v>5.8</v>
      </c>
      <c r="G259" s="8">
        <v>66</v>
      </c>
      <c r="H259" s="7">
        <f t="shared" ref="H259:H322" si="12">ROUND(0.4*G259+0.3*E259+0.3*MIN(F259/10,1)*100,1)</f>
        <v>69.7</v>
      </c>
      <c r="I259" s="7" t="str">
        <f t="shared" ref="I259:I322" si="13">IF(H259&gt;=50,"PASS","FAIL")</f>
        <v>PASS</v>
      </c>
      <c r="J259" s="7" t="str">
        <f t="shared" ref="J259:J322" si="14">IF(H259&lt;50,"High Risk",IF(H259&lt;65,"Medium Risk","Low Risk"))</f>
        <v>Low Risk</v>
      </c>
      <c r="L259" s="7" t="str">
        <f>IF(J259="High Risk",COUNTIF($J$3:J259,"High Risk"),"")</f>
        <v/>
      </c>
      <c r="M259" s="7">
        <f>RANK(H259,$H$3:$H$1002,0)+COUNTIF($H$3:H259,H259)-1</f>
        <v>436</v>
      </c>
    </row>
    <row r="260" spans="1:13" x14ac:dyDescent="0.35">
      <c r="A260" s="7" t="s">
        <v>555</v>
      </c>
      <c r="B260" s="7" t="s">
        <v>556</v>
      </c>
      <c r="C260" s="8" t="s">
        <v>56</v>
      </c>
      <c r="D260" s="8" t="s">
        <v>57</v>
      </c>
      <c r="E260" s="8">
        <v>57.4</v>
      </c>
      <c r="F260" s="8">
        <v>9.6</v>
      </c>
      <c r="G260" s="8">
        <v>67</v>
      </c>
      <c r="H260" s="7">
        <f t="shared" si="12"/>
        <v>72.8</v>
      </c>
      <c r="I260" s="7" t="str">
        <f t="shared" si="13"/>
        <v>PASS</v>
      </c>
      <c r="J260" s="7" t="str">
        <f t="shared" si="14"/>
        <v>Low Risk</v>
      </c>
      <c r="L260" s="7" t="str">
        <f>IF(J260="High Risk",COUNTIF($J$3:J260,"High Risk"),"")</f>
        <v/>
      </c>
      <c r="M260" s="7">
        <f>RANK(H260,$H$3:$H$1002,0)+COUNTIF($H$3:H260,H260)-1</f>
        <v>366</v>
      </c>
    </row>
    <row r="261" spans="1:13" x14ac:dyDescent="0.35">
      <c r="A261" s="7" t="s">
        <v>557</v>
      </c>
      <c r="B261" s="7" t="s">
        <v>558</v>
      </c>
      <c r="C261" s="8" t="s">
        <v>62</v>
      </c>
      <c r="D261" s="8" t="s">
        <v>57</v>
      </c>
      <c r="E261" s="8">
        <v>100</v>
      </c>
      <c r="F261" s="8">
        <v>11.8</v>
      </c>
      <c r="G261" s="8">
        <v>100</v>
      </c>
      <c r="H261" s="7">
        <f t="shared" si="12"/>
        <v>100</v>
      </c>
      <c r="I261" s="7" t="str">
        <f t="shared" si="13"/>
        <v>PASS</v>
      </c>
      <c r="J261" s="7" t="str">
        <f t="shared" si="14"/>
        <v>Low Risk</v>
      </c>
      <c r="L261" s="7" t="str">
        <f>IF(J261="High Risk",COUNTIF($J$3:J261,"High Risk"),"")</f>
        <v/>
      </c>
      <c r="M261" s="7">
        <f>RANK(H261,$H$3:$H$1002,0)+COUNTIF($H$3:H261,H261)-1</f>
        <v>4</v>
      </c>
    </row>
    <row r="262" spans="1:13" x14ac:dyDescent="0.35">
      <c r="A262" s="7" t="s">
        <v>559</v>
      </c>
      <c r="B262" s="7" t="s">
        <v>560</v>
      </c>
      <c r="C262" s="8" t="s">
        <v>62</v>
      </c>
      <c r="D262" s="8" t="s">
        <v>57</v>
      </c>
      <c r="E262" s="8">
        <v>66.900000000000006</v>
      </c>
      <c r="F262" s="8">
        <v>6.4</v>
      </c>
      <c r="G262" s="8">
        <v>58</v>
      </c>
      <c r="H262" s="7">
        <f t="shared" si="12"/>
        <v>62.5</v>
      </c>
      <c r="I262" s="7" t="str">
        <f t="shared" si="13"/>
        <v>PASS</v>
      </c>
      <c r="J262" s="7" t="str">
        <f t="shared" si="14"/>
        <v>Medium Risk</v>
      </c>
      <c r="L262" s="7" t="str">
        <f>IF(J262="High Risk",COUNTIF($J$3:J262,"High Risk"),"")</f>
        <v/>
      </c>
      <c r="M262" s="7">
        <f>RANK(H262,$H$3:$H$1002,0)+COUNTIF($H$3:H262,H262)-1</f>
        <v>571</v>
      </c>
    </row>
    <row r="263" spans="1:13" x14ac:dyDescent="0.35">
      <c r="A263" s="7" t="s">
        <v>561</v>
      </c>
      <c r="B263" s="7" t="s">
        <v>562</v>
      </c>
      <c r="C263" s="8" t="s">
        <v>62</v>
      </c>
      <c r="D263" s="8" t="s">
        <v>68</v>
      </c>
      <c r="E263" s="8">
        <v>66.400000000000006</v>
      </c>
      <c r="F263" s="8">
        <v>5.2</v>
      </c>
      <c r="G263" s="8">
        <v>58</v>
      </c>
      <c r="H263" s="7">
        <f t="shared" si="12"/>
        <v>58.7</v>
      </c>
      <c r="I263" s="7" t="str">
        <f t="shared" si="13"/>
        <v>PASS</v>
      </c>
      <c r="J263" s="7" t="str">
        <f t="shared" si="14"/>
        <v>Medium Risk</v>
      </c>
      <c r="L263" s="7" t="str">
        <f>IF(J263="High Risk",COUNTIF($J$3:J263,"High Risk"),"")</f>
        <v/>
      </c>
      <c r="M263" s="7">
        <f>RANK(H263,$H$3:$H$1002,0)+COUNTIF($H$3:H263,H263)-1</f>
        <v>648</v>
      </c>
    </row>
    <row r="264" spans="1:13" x14ac:dyDescent="0.35">
      <c r="A264" s="7" t="s">
        <v>563</v>
      </c>
      <c r="B264" s="7" t="s">
        <v>564</v>
      </c>
      <c r="C264" s="8" t="s">
        <v>62</v>
      </c>
      <c r="D264" s="8" t="s">
        <v>63</v>
      </c>
      <c r="E264" s="8">
        <v>89.2</v>
      </c>
      <c r="F264" s="8">
        <v>7.5</v>
      </c>
      <c r="G264" s="8">
        <v>89</v>
      </c>
      <c r="H264" s="7">
        <f t="shared" si="12"/>
        <v>84.9</v>
      </c>
      <c r="I264" s="7" t="str">
        <f t="shared" si="13"/>
        <v>PASS</v>
      </c>
      <c r="J264" s="7" t="str">
        <f t="shared" si="14"/>
        <v>Low Risk</v>
      </c>
      <c r="L264" s="7" t="str">
        <f>IF(J264="High Risk",COUNTIF($J$3:J264,"High Risk"),"")</f>
        <v/>
      </c>
      <c r="M264" s="7">
        <f>RANK(H264,$H$3:$H$1002,0)+COUNTIF($H$3:H264,H264)-1</f>
        <v>169</v>
      </c>
    </row>
    <row r="265" spans="1:13" x14ac:dyDescent="0.35">
      <c r="A265" s="7" t="s">
        <v>565</v>
      </c>
      <c r="B265" s="7" t="s">
        <v>566</v>
      </c>
      <c r="C265" s="8" t="s">
        <v>56</v>
      </c>
      <c r="D265" s="8" t="s">
        <v>68</v>
      </c>
      <c r="E265" s="8">
        <v>88.4</v>
      </c>
      <c r="F265" s="8">
        <v>9</v>
      </c>
      <c r="G265" s="8">
        <v>87</v>
      </c>
      <c r="H265" s="7">
        <f t="shared" si="12"/>
        <v>88.3</v>
      </c>
      <c r="I265" s="7" t="str">
        <f t="shared" si="13"/>
        <v>PASS</v>
      </c>
      <c r="J265" s="7" t="str">
        <f t="shared" si="14"/>
        <v>Low Risk</v>
      </c>
      <c r="L265" s="7" t="str">
        <f>IF(J265="High Risk",COUNTIF($J$3:J265,"High Risk"),"")</f>
        <v/>
      </c>
      <c r="M265" s="7">
        <f>RANK(H265,$H$3:$H$1002,0)+COUNTIF($H$3:H265,H265)-1</f>
        <v>123</v>
      </c>
    </row>
    <row r="266" spans="1:13" x14ac:dyDescent="0.35">
      <c r="A266" s="7" t="s">
        <v>567</v>
      </c>
      <c r="B266" s="7" t="s">
        <v>568</v>
      </c>
      <c r="C266" s="8" t="s">
        <v>56</v>
      </c>
      <c r="D266" s="8" t="s">
        <v>75</v>
      </c>
      <c r="E266" s="8">
        <v>76.2</v>
      </c>
      <c r="F266" s="8">
        <v>4.8</v>
      </c>
      <c r="G266" s="8">
        <v>72</v>
      </c>
      <c r="H266" s="7">
        <f t="shared" si="12"/>
        <v>66.099999999999994</v>
      </c>
      <c r="I266" s="7" t="str">
        <f t="shared" si="13"/>
        <v>PASS</v>
      </c>
      <c r="J266" s="7" t="str">
        <f t="shared" si="14"/>
        <v>Low Risk</v>
      </c>
      <c r="L266" s="7" t="str">
        <f>IF(J266="High Risk",COUNTIF($J$3:J266,"High Risk"),"")</f>
        <v/>
      </c>
      <c r="M266" s="7">
        <f>RANK(H266,$H$3:$H$1002,0)+COUNTIF($H$3:H266,H266)-1</f>
        <v>507</v>
      </c>
    </row>
    <row r="267" spans="1:13" x14ac:dyDescent="0.35">
      <c r="A267" s="7" t="s">
        <v>569</v>
      </c>
      <c r="B267" s="7" t="s">
        <v>570</v>
      </c>
      <c r="C267" s="8" t="s">
        <v>62</v>
      </c>
      <c r="D267" s="8" t="s">
        <v>63</v>
      </c>
      <c r="E267" s="8">
        <v>61.8</v>
      </c>
      <c r="F267" s="8">
        <v>3.4</v>
      </c>
      <c r="G267" s="8">
        <v>58</v>
      </c>
      <c r="H267" s="7">
        <f t="shared" si="12"/>
        <v>51.9</v>
      </c>
      <c r="I267" s="7" t="str">
        <f t="shared" si="13"/>
        <v>PASS</v>
      </c>
      <c r="J267" s="7" t="str">
        <f t="shared" si="14"/>
        <v>Medium Risk</v>
      </c>
      <c r="L267" s="7" t="str">
        <f>IF(J267="High Risk",COUNTIF($J$3:J267,"High Risk"),"")</f>
        <v/>
      </c>
      <c r="M267" s="7">
        <f>RANK(H267,$H$3:$H$1002,0)+COUNTIF($H$3:H267,H267)-1</f>
        <v>769</v>
      </c>
    </row>
    <row r="268" spans="1:13" x14ac:dyDescent="0.35">
      <c r="A268" s="7" t="s">
        <v>571</v>
      </c>
      <c r="B268" s="7" t="s">
        <v>572</v>
      </c>
      <c r="C268" s="8" t="s">
        <v>56</v>
      </c>
      <c r="D268" s="8" t="s">
        <v>57</v>
      </c>
      <c r="E268" s="8">
        <v>45</v>
      </c>
      <c r="F268" s="8">
        <v>6.1</v>
      </c>
      <c r="G268" s="8">
        <v>44</v>
      </c>
      <c r="H268" s="7">
        <f t="shared" si="12"/>
        <v>49.4</v>
      </c>
      <c r="I268" s="7" t="str">
        <f t="shared" si="13"/>
        <v>FAIL</v>
      </c>
      <c r="J268" s="7" t="str">
        <f t="shared" si="14"/>
        <v>High Risk</v>
      </c>
      <c r="L268" s="7">
        <f>IF(J268="High Risk",COUNTIF($J$3:J268,"High Risk"),"")</f>
        <v>55</v>
      </c>
      <c r="M268" s="7">
        <f>RANK(H268,$H$3:$H$1002,0)+COUNTIF($H$3:H268,H268)-1</f>
        <v>806</v>
      </c>
    </row>
    <row r="269" spans="1:13" x14ac:dyDescent="0.35">
      <c r="A269" s="7" t="s">
        <v>573</v>
      </c>
      <c r="B269" s="7" t="s">
        <v>574</v>
      </c>
      <c r="C269" s="8" t="s">
        <v>56</v>
      </c>
      <c r="D269" s="8" t="s">
        <v>68</v>
      </c>
      <c r="E269" s="8">
        <v>72</v>
      </c>
      <c r="F269" s="8">
        <v>6.8</v>
      </c>
      <c r="G269" s="8">
        <v>56</v>
      </c>
      <c r="H269" s="7">
        <f t="shared" si="12"/>
        <v>64.400000000000006</v>
      </c>
      <c r="I269" s="7" t="str">
        <f t="shared" si="13"/>
        <v>PASS</v>
      </c>
      <c r="J269" s="7" t="str">
        <f t="shared" si="14"/>
        <v>Medium Risk</v>
      </c>
      <c r="L269" s="7" t="str">
        <f>IF(J269="High Risk",COUNTIF($J$3:J269,"High Risk"),"")</f>
        <v/>
      </c>
      <c r="M269" s="7">
        <f>RANK(H269,$H$3:$H$1002,0)+COUNTIF($H$3:H269,H269)-1</f>
        <v>537</v>
      </c>
    </row>
    <row r="270" spans="1:13" x14ac:dyDescent="0.35">
      <c r="A270" s="7" t="s">
        <v>575</v>
      </c>
      <c r="B270" s="7" t="s">
        <v>576</v>
      </c>
      <c r="C270" s="8" t="s">
        <v>62</v>
      </c>
      <c r="D270" s="8" t="s">
        <v>75</v>
      </c>
      <c r="E270" s="8">
        <v>48.3</v>
      </c>
      <c r="F270" s="8">
        <v>4.5</v>
      </c>
      <c r="G270" s="8">
        <v>43</v>
      </c>
      <c r="H270" s="7">
        <f t="shared" si="12"/>
        <v>45.2</v>
      </c>
      <c r="I270" s="7" t="str">
        <f t="shared" si="13"/>
        <v>FAIL</v>
      </c>
      <c r="J270" s="7" t="str">
        <f t="shared" si="14"/>
        <v>High Risk</v>
      </c>
      <c r="L270" s="7">
        <f>IF(J270="High Risk",COUNTIF($J$3:J270,"High Risk"),"")</f>
        <v>56</v>
      </c>
      <c r="M270" s="7">
        <f>RANK(H270,$H$3:$H$1002,0)+COUNTIF($H$3:H270,H270)-1</f>
        <v>852</v>
      </c>
    </row>
    <row r="271" spans="1:13" x14ac:dyDescent="0.35">
      <c r="A271" s="7" t="s">
        <v>577</v>
      </c>
      <c r="B271" s="7" t="s">
        <v>578</v>
      </c>
      <c r="C271" s="8" t="s">
        <v>56</v>
      </c>
      <c r="D271" s="8" t="s">
        <v>63</v>
      </c>
      <c r="E271" s="8">
        <v>45.3</v>
      </c>
      <c r="F271" s="8">
        <v>0.2</v>
      </c>
      <c r="G271" s="8">
        <v>42</v>
      </c>
      <c r="H271" s="7">
        <f t="shared" si="12"/>
        <v>31</v>
      </c>
      <c r="I271" s="7" t="str">
        <f t="shared" si="13"/>
        <v>FAIL</v>
      </c>
      <c r="J271" s="7" t="str">
        <f t="shared" si="14"/>
        <v>High Risk</v>
      </c>
      <c r="L271" s="7">
        <f>IF(J271="High Risk",COUNTIF($J$3:J271,"High Risk"),"")</f>
        <v>57</v>
      </c>
      <c r="M271" s="7">
        <f>RANK(H271,$H$3:$H$1002,0)+COUNTIF($H$3:H271,H271)-1</f>
        <v>959</v>
      </c>
    </row>
    <row r="272" spans="1:13" x14ac:dyDescent="0.35">
      <c r="A272" s="7" t="s">
        <v>579</v>
      </c>
      <c r="B272" s="7" t="s">
        <v>580</v>
      </c>
      <c r="C272" s="8" t="s">
        <v>62</v>
      </c>
      <c r="D272" s="8" t="s">
        <v>63</v>
      </c>
      <c r="E272" s="8">
        <v>96.3</v>
      </c>
      <c r="F272" s="8">
        <v>6.6</v>
      </c>
      <c r="G272" s="8">
        <v>82</v>
      </c>
      <c r="H272" s="7">
        <f t="shared" si="12"/>
        <v>81.5</v>
      </c>
      <c r="I272" s="7" t="str">
        <f t="shared" si="13"/>
        <v>PASS</v>
      </c>
      <c r="J272" s="7" t="str">
        <f t="shared" si="14"/>
        <v>Low Risk</v>
      </c>
      <c r="L272" s="7" t="str">
        <f>IF(J272="High Risk",COUNTIF($J$3:J272,"High Risk"),"")</f>
        <v/>
      </c>
      <c r="M272" s="7">
        <f>RANK(H272,$H$3:$H$1002,0)+COUNTIF($H$3:H272,H272)-1</f>
        <v>225</v>
      </c>
    </row>
    <row r="273" spans="1:13" x14ac:dyDescent="0.35">
      <c r="A273" s="7" t="s">
        <v>581</v>
      </c>
      <c r="B273" s="7" t="s">
        <v>490</v>
      </c>
      <c r="C273" s="8" t="s">
        <v>56</v>
      </c>
      <c r="D273" s="8" t="s">
        <v>68</v>
      </c>
      <c r="E273" s="8">
        <v>58.2</v>
      </c>
      <c r="F273" s="8">
        <v>2</v>
      </c>
      <c r="G273" s="8">
        <v>36</v>
      </c>
      <c r="H273" s="7">
        <f t="shared" si="12"/>
        <v>37.9</v>
      </c>
      <c r="I273" s="7" t="str">
        <f t="shared" si="13"/>
        <v>FAIL</v>
      </c>
      <c r="J273" s="7" t="str">
        <f t="shared" si="14"/>
        <v>High Risk</v>
      </c>
      <c r="L273" s="7">
        <f>IF(J273="High Risk",COUNTIF($J$3:J273,"High Risk"),"")</f>
        <v>58</v>
      </c>
      <c r="M273" s="7">
        <f>RANK(H273,$H$3:$H$1002,0)+COUNTIF($H$3:H273,H273)-1</f>
        <v>925</v>
      </c>
    </row>
    <row r="274" spans="1:13" x14ac:dyDescent="0.35">
      <c r="A274" s="7" t="s">
        <v>582</v>
      </c>
      <c r="B274" s="7" t="s">
        <v>583</v>
      </c>
      <c r="C274" s="8" t="s">
        <v>62</v>
      </c>
      <c r="D274" s="8" t="s">
        <v>75</v>
      </c>
      <c r="E274" s="8">
        <v>57.8</v>
      </c>
      <c r="F274" s="8">
        <v>5.0999999999999996</v>
      </c>
      <c r="G274" s="8">
        <v>51</v>
      </c>
      <c r="H274" s="7">
        <f t="shared" si="12"/>
        <v>53</v>
      </c>
      <c r="I274" s="7" t="str">
        <f t="shared" si="13"/>
        <v>PASS</v>
      </c>
      <c r="J274" s="7" t="str">
        <f t="shared" si="14"/>
        <v>Medium Risk</v>
      </c>
      <c r="L274" s="7" t="str">
        <f>IF(J274="High Risk",COUNTIF($J$3:J274,"High Risk"),"")</f>
        <v/>
      </c>
      <c r="M274" s="7">
        <f>RANK(H274,$H$3:$H$1002,0)+COUNTIF($H$3:H274,H274)-1</f>
        <v>751</v>
      </c>
    </row>
    <row r="275" spans="1:13" x14ac:dyDescent="0.35">
      <c r="A275" s="7" t="s">
        <v>584</v>
      </c>
      <c r="B275" s="7" t="s">
        <v>585</v>
      </c>
      <c r="C275" s="8" t="s">
        <v>62</v>
      </c>
      <c r="D275" s="8" t="s">
        <v>75</v>
      </c>
      <c r="E275" s="8">
        <v>73</v>
      </c>
      <c r="F275" s="8">
        <v>7.2</v>
      </c>
      <c r="G275" s="8">
        <v>74</v>
      </c>
      <c r="H275" s="7">
        <f t="shared" si="12"/>
        <v>73.099999999999994</v>
      </c>
      <c r="I275" s="7" t="str">
        <f t="shared" si="13"/>
        <v>PASS</v>
      </c>
      <c r="J275" s="7" t="str">
        <f t="shared" si="14"/>
        <v>Low Risk</v>
      </c>
      <c r="L275" s="7" t="str">
        <f>IF(J275="High Risk",COUNTIF($J$3:J275,"High Risk"),"")</f>
        <v/>
      </c>
      <c r="M275" s="7">
        <f>RANK(H275,$H$3:$H$1002,0)+COUNTIF($H$3:H275,H275)-1</f>
        <v>358</v>
      </c>
    </row>
    <row r="276" spans="1:13" x14ac:dyDescent="0.35">
      <c r="A276" s="7" t="s">
        <v>586</v>
      </c>
      <c r="B276" s="7" t="s">
        <v>587</v>
      </c>
      <c r="C276" s="8" t="s">
        <v>62</v>
      </c>
      <c r="D276" s="8" t="s">
        <v>63</v>
      </c>
      <c r="E276" s="8">
        <v>100</v>
      </c>
      <c r="F276" s="8">
        <v>13</v>
      </c>
      <c r="G276" s="8">
        <v>94</v>
      </c>
      <c r="H276" s="7">
        <f t="shared" si="12"/>
        <v>97.6</v>
      </c>
      <c r="I276" s="7" t="str">
        <f t="shared" si="13"/>
        <v>PASS</v>
      </c>
      <c r="J276" s="7" t="str">
        <f t="shared" si="14"/>
        <v>Low Risk</v>
      </c>
      <c r="L276" s="7" t="str">
        <f>IF(J276="High Risk",COUNTIF($J$3:J276,"High Risk"),"")</f>
        <v/>
      </c>
      <c r="M276" s="7">
        <f>RANK(H276,$H$3:$H$1002,0)+COUNTIF($H$3:H276,H276)-1</f>
        <v>28</v>
      </c>
    </row>
    <row r="277" spans="1:13" x14ac:dyDescent="0.35">
      <c r="A277" s="7" t="s">
        <v>588</v>
      </c>
      <c r="B277" s="7" t="s">
        <v>589</v>
      </c>
      <c r="C277" s="8" t="s">
        <v>62</v>
      </c>
      <c r="D277" s="8" t="s">
        <v>63</v>
      </c>
      <c r="E277" s="8">
        <v>57.1</v>
      </c>
      <c r="F277" s="8">
        <v>5.5</v>
      </c>
      <c r="G277" s="8">
        <v>63</v>
      </c>
      <c r="H277" s="7">
        <f t="shared" si="12"/>
        <v>58.8</v>
      </c>
      <c r="I277" s="7" t="str">
        <f t="shared" si="13"/>
        <v>PASS</v>
      </c>
      <c r="J277" s="7" t="str">
        <f t="shared" si="14"/>
        <v>Medium Risk</v>
      </c>
      <c r="L277" s="7" t="str">
        <f>IF(J277="High Risk",COUNTIF($J$3:J277,"High Risk"),"")</f>
        <v/>
      </c>
      <c r="M277" s="7">
        <f>RANK(H277,$H$3:$H$1002,0)+COUNTIF($H$3:H277,H277)-1</f>
        <v>644</v>
      </c>
    </row>
    <row r="278" spans="1:13" x14ac:dyDescent="0.35">
      <c r="A278" s="7" t="s">
        <v>590</v>
      </c>
      <c r="B278" s="7" t="s">
        <v>591</v>
      </c>
      <c r="C278" s="8" t="s">
        <v>62</v>
      </c>
      <c r="D278" s="8" t="s">
        <v>68</v>
      </c>
      <c r="E278" s="8">
        <v>72.900000000000006</v>
      </c>
      <c r="F278" s="8">
        <v>8.8000000000000007</v>
      </c>
      <c r="G278" s="8">
        <v>57</v>
      </c>
      <c r="H278" s="7">
        <f t="shared" si="12"/>
        <v>71.099999999999994</v>
      </c>
      <c r="I278" s="7" t="str">
        <f t="shared" si="13"/>
        <v>PASS</v>
      </c>
      <c r="J278" s="7" t="str">
        <f t="shared" si="14"/>
        <v>Low Risk</v>
      </c>
      <c r="L278" s="7" t="str">
        <f>IF(J278="High Risk",COUNTIF($J$3:J278,"High Risk"),"")</f>
        <v/>
      </c>
      <c r="M278" s="7">
        <f>RANK(H278,$H$3:$H$1002,0)+COUNTIF($H$3:H278,H278)-1</f>
        <v>404</v>
      </c>
    </row>
    <row r="279" spans="1:13" x14ac:dyDescent="0.35">
      <c r="A279" s="7" t="s">
        <v>592</v>
      </c>
      <c r="B279" s="7" t="s">
        <v>593</v>
      </c>
      <c r="C279" s="8" t="s">
        <v>56</v>
      </c>
      <c r="D279" s="8" t="s">
        <v>75</v>
      </c>
      <c r="E279" s="8">
        <v>92</v>
      </c>
      <c r="F279" s="8">
        <v>4.5</v>
      </c>
      <c r="G279" s="8">
        <v>71</v>
      </c>
      <c r="H279" s="7">
        <f t="shared" si="12"/>
        <v>69.5</v>
      </c>
      <c r="I279" s="7" t="str">
        <f t="shared" si="13"/>
        <v>PASS</v>
      </c>
      <c r="J279" s="7" t="str">
        <f t="shared" si="14"/>
        <v>Low Risk</v>
      </c>
      <c r="L279" s="7" t="str">
        <f>IF(J279="High Risk",COUNTIF($J$3:J279,"High Risk"),"")</f>
        <v/>
      </c>
      <c r="M279" s="7">
        <f>RANK(H279,$H$3:$H$1002,0)+COUNTIF($H$3:H279,H279)-1</f>
        <v>440</v>
      </c>
    </row>
    <row r="280" spans="1:13" x14ac:dyDescent="0.35">
      <c r="A280" s="7" t="s">
        <v>594</v>
      </c>
      <c r="B280" s="7" t="s">
        <v>595</v>
      </c>
      <c r="C280" s="8" t="s">
        <v>56</v>
      </c>
      <c r="D280" s="8" t="s">
        <v>63</v>
      </c>
      <c r="E280" s="8">
        <v>90.4</v>
      </c>
      <c r="F280" s="8">
        <v>8.4</v>
      </c>
      <c r="G280" s="8">
        <v>74</v>
      </c>
      <c r="H280" s="7">
        <f t="shared" si="12"/>
        <v>81.900000000000006</v>
      </c>
      <c r="I280" s="7" t="str">
        <f t="shared" si="13"/>
        <v>PASS</v>
      </c>
      <c r="J280" s="7" t="str">
        <f t="shared" si="14"/>
        <v>Low Risk</v>
      </c>
      <c r="L280" s="7" t="str">
        <f>IF(J280="High Risk",COUNTIF($J$3:J280,"High Risk"),"")</f>
        <v/>
      </c>
      <c r="M280" s="7">
        <f>RANK(H280,$H$3:$H$1002,0)+COUNTIF($H$3:H280,H280)-1</f>
        <v>214</v>
      </c>
    </row>
    <row r="281" spans="1:13" x14ac:dyDescent="0.35">
      <c r="A281" s="7" t="s">
        <v>596</v>
      </c>
      <c r="B281" s="7" t="s">
        <v>597</v>
      </c>
      <c r="C281" s="8" t="s">
        <v>62</v>
      </c>
      <c r="D281" s="8" t="s">
        <v>57</v>
      </c>
      <c r="E281" s="8">
        <v>73.400000000000006</v>
      </c>
      <c r="F281" s="8">
        <v>7.5</v>
      </c>
      <c r="G281" s="8">
        <v>54</v>
      </c>
      <c r="H281" s="7">
        <f t="shared" si="12"/>
        <v>66.099999999999994</v>
      </c>
      <c r="I281" s="7" t="str">
        <f t="shared" si="13"/>
        <v>PASS</v>
      </c>
      <c r="J281" s="7" t="str">
        <f t="shared" si="14"/>
        <v>Low Risk</v>
      </c>
      <c r="L281" s="7" t="str">
        <f>IF(J281="High Risk",COUNTIF($J$3:J281,"High Risk"),"")</f>
        <v/>
      </c>
      <c r="M281" s="7">
        <f>RANK(H281,$H$3:$H$1002,0)+COUNTIF($H$3:H281,H281)-1</f>
        <v>508</v>
      </c>
    </row>
    <row r="282" spans="1:13" x14ac:dyDescent="0.35">
      <c r="A282" s="7" t="s">
        <v>598</v>
      </c>
      <c r="B282" s="7" t="s">
        <v>599</v>
      </c>
      <c r="C282" s="8" t="s">
        <v>56</v>
      </c>
      <c r="D282" s="8" t="s">
        <v>63</v>
      </c>
      <c r="E282" s="8">
        <v>36.200000000000003</v>
      </c>
      <c r="F282" s="8">
        <v>2.6</v>
      </c>
      <c r="G282" s="8">
        <v>35</v>
      </c>
      <c r="H282" s="7">
        <f t="shared" si="12"/>
        <v>32.700000000000003</v>
      </c>
      <c r="I282" s="7" t="str">
        <f t="shared" si="13"/>
        <v>FAIL</v>
      </c>
      <c r="J282" s="7" t="str">
        <f t="shared" si="14"/>
        <v>High Risk</v>
      </c>
      <c r="L282" s="7">
        <f>IF(J282="High Risk",COUNTIF($J$3:J282,"High Risk"),"")</f>
        <v>59</v>
      </c>
      <c r="M282" s="7">
        <f>RANK(H282,$H$3:$H$1002,0)+COUNTIF($H$3:H282,H282)-1</f>
        <v>950</v>
      </c>
    </row>
    <row r="283" spans="1:13" x14ac:dyDescent="0.35">
      <c r="A283" s="7" t="s">
        <v>600</v>
      </c>
      <c r="B283" s="7" t="s">
        <v>601</v>
      </c>
      <c r="C283" s="8" t="s">
        <v>56</v>
      </c>
      <c r="D283" s="8" t="s">
        <v>57</v>
      </c>
      <c r="E283" s="8">
        <v>48.7</v>
      </c>
      <c r="F283" s="8">
        <v>5.6</v>
      </c>
      <c r="G283" s="8">
        <v>49</v>
      </c>
      <c r="H283" s="7">
        <f t="shared" si="12"/>
        <v>51</v>
      </c>
      <c r="I283" s="7" t="str">
        <f t="shared" si="13"/>
        <v>PASS</v>
      </c>
      <c r="J283" s="7" t="str">
        <f t="shared" si="14"/>
        <v>Medium Risk</v>
      </c>
      <c r="L283" s="7" t="str">
        <f>IF(J283="High Risk",COUNTIF($J$3:J283,"High Risk"),"")</f>
        <v/>
      </c>
      <c r="M283" s="7">
        <f>RANK(H283,$H$3:$H$1002,0)+COUNTIF($H$3:H283,H283)-1</f>
        <v>785</v>
      </c>
    </row>
    <row r="284" spans="1:13" x14ac:dyDescent="0.35">
      <c r="A284" s="7" t="s">
        <v>602</v>
      </c>
      <c r="B284" s="7" t="s">
        <v>603</v>
      </c>
      <c r="C284" s="8" t="s">
        <v>62</v>
      </c>
      <c r="D284" s="8" t="s">
        <v>75</v>
      </c>
      <c r="E284" s="8">
        <v>61.9</v>
      </c>
      <c r="F284" s="8">
        <v>9.8000000000000007</v>
      </c>
      <c r="G284" s="8">
        <v>83</v>
      </c>
      <c r="H284" s="7">
        <f t="shared" si="12"/>
        <v>81.2</v>
      </c>
      <c r="I284" s="7" t="str">
        <f t="shared" si="13"/>
        <v>PASS</v>
      </c>
      <c r="J284" s="7" t="str">
        <f t="shared" si="14"/>
        <v>Low Risk</v>
      </c>
      <c r="L284" s="7" t="str">
        <f>IF(J284="High Risk",COUNTIF($J$3:J284,"High Risk"),"")</f>
        <v/>
      </c>
      <c r="M284" s="7">
        <f>RANK(H284,$H$3:$H$1002,0)+COUNTIF($H$3:H284,H284)-1</f>
        <v>229</v>
      </c>
    </row>
    <row r="285" spans="1:13" x14ac:dyDescent="0.35">
      <c r="A285" s="7" t="s">
        <v>604</v>
      </c>
      <c r="B285" s="7" t="s">
        <v>605</v>
      </c>
      <c r="C285" s="8" t="s">
        <v>56</v>
      </c>
      <c r="D285" s="8" t="s">
        <v>63</v>
      </c>
      <c r="E285" s="8">
        <v>76.3</v>
      </c>
      <c r="F285" s="8">
        <v>3.8</v>
      </c>
      <c r="G285" s="8">
        <v>51</v>
      </c>
      <c r="H285" s="7">
        <f t="shared" si="12"/>
        <v>54.7</v>
      </c>
      <c r="I285" s="7" t="str">
        <f t="shared" si="13"/>
        <v>PASS</v>
      </c>
      <c r="J285" s="7" t="str">
        <f t="shared" si="14"/>
        <v>Medium Risk</v>
      </c>
      <c r="L285" s="7" t="str">
        <f>IF(J285="High Risk",COUNTIF($J$3:J285,"High Risk"),"")</f>
        <v/>
      </c>
      <c r="M285" s="7">
        <f>RANK(H285,$H$3:$H$1002,0)+COUNTIF($H$3:H285,H285)-1</f>
        <v>718</v>
      </c>
    </row>
    <row r="286" spans="1:13" x14ac:dyDescent="0.35">
      <c r="A286" s="7" t="s">
        <v>606</v>
      </c>
      <c r="B286" s="7" t="s">
        <v>562</v>
      </c>
      <c r="C286" s="8" t="s">
        <v>62</v>
      </c>
      <c r="D286" s="8" t="s">
        <v>68</v>
      </c>
      <c r="E286" s="8">
        <v>58.5</v>
      </c>
      <c r="F286" s="8">
        <v>3.1</v>
      </c>
      <c r="G286" s="8">
        <v>58</v>
      </c>
      <c r="H286" s="7">
        <f t="shared" si="12"/>
        <v>50.1</v>
      </c>
      <c r="I286" s="7" t="str">
        <f t="shared" si="13"/>
        <v>PASS</v>
      </c>
      <c r="J286" s="7" t="str">
        <f t="shared" si="14"/>
        <v>Medium Risk</v>
      </c>
      <c r="L286" s="7" t="str">
        <f>IF(J286="High Risk",COUNTIF($J$3:J286,"High Risk"),"")</f>
        <v/>
      </c>
      <c r="M286" s="7">
        <f>RANK(H286,$H$3:$H$1002,0)+COUNTIF($H$3:H286,H286)-1</f>
        <v>800</v>
      </c>
    </row>
    <row r="287" spans="1:13" x14ac:dyDescent="0.35">
      <c r="A287" s="7" t="s">
        <v>607</v>
      </c>
      <c r="B287" s="7" t="s">
        <v>608</v>
      </c>
      <c r="C287" s="8" t="s">
        <v>56</v>
      </c>
      <c r="D287" s="8" t="s">
        <v>75</v>
      </c>
      <c r="E287" s="8">
        <v>35.4</v>
      </c>
      <c r="F287" s="8">
        <v>1.8</v>
      </c>
      <c r="G287" s="8">
        <v>21</v>
      </c>
      <c r="H287" s="7">
        <f t="shared" si="12"/>
        <v>24.4</v>
      </c>
      <c r="I287" s="7" t="str">
        <f t="shared" si="13"/>
        <v>FAIL</v>
      </c>
      <c r="J287" s="7" t="str">
        <f t="shared" si="14"/>
        <v>High Risk</v>
      </c>
      <c r="L287" s="7">
        <f>IF(J287="High Risk",COUNTIF($J$3:J287,"High Risk"),"")</f>
        <v>60</v>
      </c>
      <c r="M287" s="7">
        <f>RANK(H287,$H$3:$H$1002,0)+COUNTIF($H$3:H287,H287)-1</f>
        <v>984</v>
      </c>
    </row>
    <row r="288" spans="1:13" x14ac:dyDescent="0.35">
      <c r="A288" s="7" t="s">
        <v>609</v>
      </c>
      <c r="B288" s="7" t="s">
        <v>610</v>
      </c>
      <c r="C288" s="8" t="s">
        <v>62</v>
      </c>
      <c r="D288" s="8" t="s">
        <v>75</v>
      </c>
      <c r="E288" s="8">
        <v>76.900000000000006</v>
      </c>
      <c r="F288" s="8">
        <v>4.2</v>
      </c>
      <c r="G288" s="8">
        <v>61</v>
      </c>
      <c r="H288" s="7">
        <f t="shared" si="12"/>
        <v>60.1</v>
      </c>
      <c r="I288" s="7" t="str">
        <f t="shared" si="13"/>
        <v>PASS</v>
      </c>
      <c r="J288" s="7" t="str">
        <f t="shared" si="14"/>
        <v>Medium Risk</v>
      </c>
      <c r="L288" s="7" t="str">
        <f>IF(J288="High Risk",COUNTIF($J$3:J288,"High Risk"),"")</f>
        <v/>
      </c>
      <c r="M288" s="7">
        <f>RANK(H288,$H$3:$H$1002,0)+COUNTIF($H$3:H288,H288)-1</f>
        <v>619</v>
      </c>
    </row>
    <row r="289" spans="1:13" x14ac:dyDescent="0.35">
      <c r="A289" s="7" t="s">
        <v>611</v>
      </c>
      <c r="B289" s="7" t="s">
        <v>612</v>
      </c>
      <c r="C289" s="8" t="s">
        <v>56</v>
      </c>
      <c r="D289" s="8" t="s">
        <v>63</v>
      </c>
      <c r="E289" s="8">
        <v>69.8</v>
      </c>
      <c r="F289" s="8">
        <v>3.5</v>
      </c>
      <c r="G289" s="8">
        <v>69</v>
      </c>
      <c r="H289" s="7">
        <f t="shared" si="12"/>
        <v>59</v>
      </c>
      <c r="I289" s="7" t="str">
        <f t="shared" si="13"/>
        <v>PASS</v>
      </c>
      <c r="J289" s="7" t="str">
        <f t="shared" si="14"/>
        <v>Medium Risk</v>
      </c>
      <c r="L289" s="7" t="str">
        <f>IF(J289="High Risk",COUNTIF($J$3:J289,"High Risk"),"")</f>
        <v/>
      </c>
      <c r="M289" s="7">
        <f>RANK(H289,$H$3:$H$1002,0)+COUNTIF($H$3:H289,H289)-1</f>
        <v>640</v>
      </c>
    </row>
    <row r="290" spans="1:13" x14ac:dyDescent="0.35">
      <c r="A290" s="7" t="s">
        <v>613</v>
      </c>
      <c r="B290" s="7" t="s">
        <v>614</v>
      </c>
      <c r="C290" s="8" t="s">
        <v>56</v>
      </c>
      <c r="D290" s="8" t="s">
        <v>57</v>
      </c>
      <c r="E290" s="8">
        <v>74.900000000000006</v>
      </c>
      <c r="F290" s="8">
        <v>3.9</v>
      </c>
      <c r="G290" s="8">
        <v>64</v>
      </c>
      <c r="H290" s="7">
        <f t="shared" si="12"/>
        <v>59.8</v>
      </c>
      <c r="I290" s="7" t="str">
        <f t="shared" si="13"/>
        <v>PASS</v>
      </c>
      <c r="J290" s="7" t="str">
        <f t="shared" si="14"/>
        <v>Medium Risk</v>
      </c>
      <c r="L290" s="7" t="str">
        <f>IF(J290="High Risk",COUNTIF($J$3:J290,"High Risk"),"")</f>
        <v/>
      </c>
      <c r="M290" s="7">
        <f>RANK(H290,$H$3:$H$1002,0)+COUNTIF($H$3:H290,H290)-1</f>
        <v>627</v>
      </c>
    </row>
    <row r="291" spans="1:13" x14ac:dyDescent="0.35">
      <c r="A291" s="7" t="s">
        <v>615</v>
      </c>
      <c r="B291" s="7" t="s">
        <v>616</v>
      </c>
      <c r="C291" s="8" t="s">
        <v>56</v>
      </c>
      <c r="D291" s="8" t="s">
        <v>75</v>
      </c>
      <c r="E291" s="8">
        <v>70.2</v>
      </c>
      <c r="F291" s="8">
        <v>8.4</v>
      </c>
      <c r="G291" s="8">
        <v>67</v>
      </c>
      <c r="H291" s="7">
        <f t="shared" si="12"/>
        <v>73.099999999999994</v>
      </c>
      <c r="I291" s="7" t="str">
        <f t="shared" si="13"/>
        <v>PASS</v>
      </c>
      <c r="J291" s="7" t="str">
        <f t="shared" si="14"/>
        <v>Low Risk</v>
      </c>
      <c r="L291" s="7" t="str">
        <f>IF(J291="High Risk",COUNTIF($J$3:J291,"High Risk"),"")</f>
        <v/>
      </c>
      <c r="M291" s="7">
        <f>RANK(H291,$H$3:$H$1002,0)+COUNTIF($H$3:H291,H291)-1</f>
        <v>359</v>
      </c>
    </row>
    <row r="292" spans="1:13" x14ac:dyDescent="0.35">
      <c r="A292" s="7" t="s">
        <v>617</v>
      </c>
      <c r="B292" s="7" t="s">
        <v>618</v>
      </c>
      <c r="C292" s="8" t="s">
        <v>56</v>
      </c>
      <c r="D292" s="8" t="s">
        <v>68</v>
      </c>
      <c r="E292" s="8">
        <v>73.7</v>
      </c>
      <c r="F292" s="8">
        <v>7.1</v>
      </c>
      <c r="G292" s="8">
        <v>48</v>
      </c>
      <c r="H292" s="7">
        <f t="shared" si="12"/>
        <v>62.6</v>
      </c>
      <c r="I292" s="7" t="str">
        <f t="shared" si="13"/>
        <v>PASS</v>
      </c>
      <c r="J292" s="7" t="str">
        <f t="shared" si="14"/>
        <v>Medium Risk</v>
      </c>
      <c r="L292" s="7" t="str">
        <f>IF(J292="High Risk",COUNTIF($J$3:J292,"High Risk"),"")</f>
        <v/>
      </c>
      <c r="M292" s="7">
        <f>RANK(H292,$H$3:$H$1002,0)+COUNTIF($H$3:H292,H292)-1</f>
        <v>568</v>
      </c>
    </row>
    <row r="293" spans="1:13" x14ac:dyDescent="0.35">
      <c r="A293" s="7" t="s">
        <v>619</v>
      </c>
      <c r="B293" s="7" t="s">
        <v>620</v>
      </c>
      <c r="C293" s="8" t="s">
        <v>56</v>
      </c>
      <c r="D293" s="8" t="s">
        <v>75</v>
      </c>
      <c r="E293" s="8">
        <v>86.8</v>
      </c>
      <c r="F293" s="8">
        <v>7.3</v>
      </c>
      <c r="G293" s="8">
        <v>81</v>
      </c>
      <c r="H293" s="7">
        <f t="shared" si="12"/>
        <v>80.3</v>
      </c>
      <c r="I293" s="7" t="str">
        <f t="shared" si="13"/>
        <v>PASS</v>
      </c>
      <c r="J293" s="7" t="str">
        <f t="shared" si="14"/>
        <v>Low Risk</v>
      </c>
      <c r="L293" s="7" t="str">
        <f>IF(J293="High Risk",COUNTIF($J$3:J293,"High Risk"),"")</f>
        <v/>
      </c>
      <c r="M293" s="7">
        <f>RANK(H293,$H$3:$H$1002,0)+COUNTIF($H$3:H293,H293)-1</f>
        <v>240</v>
      </c>
    </row>
    <row r="294" spans="1:13" x14ac:dyDescent="0.35">
      <c r="A294" s="7" t="s">
        <v>621</v>
      </c>
      <c r="B294" s="7" t="s">
        <v>542</v>
      </c>
      <c r="C294" s="8" t="s">
        <v>62</v>
      </c>
      <c r="D294" s="8" t="s">
        <v>75</v>
      </c>
      <c r="E294" s="8">
        <v>59.6</v>
      </c>
      <c r="F294" s="8">
        <v>3.5</v>
      </c>
      <c r="G294" s="8">
        <v>60</v>
      </c>
      <c r="H294" s="7">
        <f t="shared" si="12"/>
        <v>52.4</v>
      </c>
      <c r="I294" s="7" t="str">
        <f t="shared" si="13"/>
        <v>PASS</v>
      </c>
      <c r="J294" s="7" t="str">
        <f t="shared" si="14"/>
        <v>Medium Risk</v>
      </c>
      <c r="L294" s="7" t="str">
        <f>IF(J294="High Risk",COUNTIF($J$3:J294,"High Risk"),"")</f>
        <v/>
      </c>
      <c r="M294" s="7">
        <f>RANK(H294,$H$3:$H$1002,0)+COUNTIF($H$3:H294,H294)-1</f>
        <v>763</v>
      </c>
    </row>
    <row r="295" spans="1:13" x14ac:dyDescent="0.35">
      <c r="A295" s="7" t="s">
        <v>622</v>
      </c>
      <c r="B295" s="7" t="s">
        <v>623</v>
      </c>
      <c r="C295" s="8" t="s">
        <v>62</v>
      </c>
      <c r="D295" s="8" t="s">
        <v>68</v>
      </c>
      <c r="E295" s="8">
        <v>57.3</v>
      </c>
      <c r="F295" s="8">
        <v>4.8</v>
      </c>
      <c r="G295" s="8">
        <v>65</v>
      </c>
      <c r="H295" s="7">
        <f t="shared" si="12"/>
        <v>57.6</v>
      </c>
      <c r="I295" s="7" t="str">
        <f t="shared" si="13"/>
        <v>PASS</v>
      </c>
      <c r="J295" s="7" t="str">
        <f t="shared" si="14"/>
        <v>Medium Risk</v>
      </c>
      <c r="L295" s="7" t="str">
        <f>IF(J295="High Risk",COUNTIF($J$3:J295,"High Risk"),"")</f>
        <v/>
      </c>
      <c r="M295" s="7">
        <f>RANK(H295,$H$3:$H$1002,0)+COUNTIF($H$3:H295,H295)-1</f>
        <v>671</v>
      </c>
    </row>
    <row r="296" spans="1:13" x14ac:dyDescent="0.35">
      <c r="A296" s="7" t="s">
        <v>624</v>
      </c>
      <c r="B296" s="7" t="s">
        <v>194</v>
      </c>
      <c r="C296" s="8" t="s">
        <v>62</v>
      </c>
      <c r="D296" s="8" t="s">
        <v>63</v>
      </c>
      <c r="E296" s="8">
        <v>80.900000000000006</v>
      </c>
      <c r="F296" s="8">
        <v>6</v>
      </c>
      <c r="G296" s="8">
        <v>83</v>
      </c>
      <c r="H296" s="7">
        <f t="shared" si="12"/>
        <v>75.5</v>
      </c>
      <c r="I296" s="7" t="str">
        <f t="shared" si="13"/>
        <v>PASS</v>
      </c>
      <c r="J296" s="7" t="str">
        <f t="shared" si="14"/>
        <v>Low Risk</v>
      </c>
      <c r="L296" s="7" t="str">
        <f>IF(J296="High Risk",COUNTIF($J$3:J296,"High Risk"),"")</f>
        <v/>
      </c>
      <c r="M296" s="7">
        <f>RANK(H296,$H$3:$H$1002,0)+COUNTIF($H$3:H296,H296)-1</f>
        <v>318</v>
      </c>
    </row>
    <row r="297" spans="1:13" x14ac:dyDescent="0.35">
      <c r="A297" s="7" t="s">
        <v>625</v>
      </c>
      <c r="B297" s="7" t="s">
        <v>626</v>
      </c>
      <c r="C297" s="8" t="s">
        <v>62</v>
      </c>
      <c r="D297" s="8" t="s">
        <v>57</v>
      </c>
      <c r="E297" s="8">
        <v>87.7</v>
      </c>
      <c r="F297" s="8">
        <v>6.5</v>
      </c>
      <c r="G297" s="8">
        <v>76</v>
      </c>
      <c r="H297" s="7">
        <f t="shared" si="12"/>
        <v>76.2</v>
      </c>
      <c r="I297" s="7" t="str">
        <f t="shared" si="13"/>
        <v>PASS</v>
      </c>
      <c r="J297" s="7" t="str">
        <f t="shared" si="14"/>
        <v>Low Risk</v>
      </c>
      <c r="L297" s="7" t="str">
        <f>IF(J297="High Risk",COUNTIF($J$3:J297,"High Risk"),"")</f>
        <v/>
      </c>
      <c r="M297" s="7">
        <f>RANK(H297,$H$3:$H$1002,0)+COUNTIF($H$3:H297,H297)-1</f>
        <v>304</v>
      </c>
    </row>
    <row r="298" spans="1:13" x14ac:dyDescent="0.35">
      <c r="A298" s="7" t="s">
        <v>627</v>
      </c>
      <c r="B298" s="7" t="s">
        <v>628</v>
      </c>
      <c r="C298" s="8" t="s">
        <v>62</v>
      </c>
      <c r="D298" s="8" t="s">
        <v>68</v>
      </c>
      <c r="E298" s="8">
        <v>93.6</v>
      </c>
      <c r="F298" s="8">
        <v>8.4</v>
      </c>
      <c r="G298" s="8">
        <v>86</v>
      </c>
      <c r="H298" s="7">
        <f t="shared" si="12"/>
        <v>87.7</v>
      </c>
      <c r="I298" s="7" t="str">
        <f t="shared" si="13"/>
        <v>PASS</v>
      </c>
      <c r="J298" s="7" t="str">
        <f t="shared" si="14"/>
        <v>Low Risk</v>
      </c>
      <c r="L298" s="7" t="str">
        <f>IF(J298="High Risk",COUNTIF($J$3:J298,"High Risk"),"")</f>
        <v/>
      </c>
      <c r="M298" s="7">
        <f>RANK(H298,$H$3:$H$1002,0)+COUNTIF($H$3:H298,H298)-1</f>
        <v>131</v>
      </c>
    </row>
    <row r="299" spans="1:13" x14ac:dyDescent="0.35">
      <c r="A299" s="7" t="s">
        <v>629</v>
      </c>
      <c r="B299" s="7" t="s">
        <v>630</v>
      </c>
      <c r="C299" s="8" t="s">
        <v>62</v>
      </c>
      <c r="D299" s="8" t="s">
        <v>63</v>
      </c>
      <c r="E299" s="8">
        <v>42.9</v>
      </c>
      <c r="F299" s="8">
        <v>0</v>
      </c>
      <c r="G299" s="8">
        <v>29</v>
      </c>
      <c r="H299" s="7">
        <f t="shared" si="12"/>
        <v>24.5</v>
      </c>
      <c r="I299" s="7" t="str">
        <f t="shared" si="13"/>
        <v>FAIL</v>
      </c>
      <c r="J299" s="7" t="str">
        <f t="shared" si="14"/>
        <v>High Risk</v>
      </c>
      <c r="L299" s="7">
        <f>IF(J299="High Risk",COUNTIF($J$3:J299,"High Risk"),"")</f>
        <v>61</v>
      </c>
      <c r="M299" s="7">
        <f>RANK(H299,$H$3:$H$1002,0)+COUNTIF($H$3:H299,H299)-1</f>
        <v>983</v>
      </c>
    </row>
    <row r="300" spans="1:13" x14ac:dyDescent="0.35">
      <c r="A300" s="7" t="s">
        <v>631</v>
      </c>
      <c r="B300" s="7" t="s">
        <v>632</v>
      </c>
      <c r="C300" s="8" t="s">
        <v>56</v>
      </c>
      <c r="D300" s="8" t="s">
        <v>68</v>
      </c>
      <c r="E300" s="8">
        <v>100</v>
      </c>
      <c r="F300" s="8">
        <v>10.3</v>
      </c>
      <c r="G300" s="8">
        <v>90</v>
      </c>
      <c r="H300" s="7">
        <f t="shared" si="12"/>
        <v>96</v>
      </c>
      <c r="I300" s="7" t="str">
        <f t="shared" si="13"/>
        <v>PASS</v>
      </c>
      <c r="J300" s="7" t="str">
        <f t="shared" si="14"/>
        <v>Low Risk</v>
      </c>
      <c r="L300" s="7" t="str">
        <f>IF(J300="High Risk",COUNTIF($J$3:J300,"High Risk"),"")</f>
        <v/>
      </c>
      <c r="M300" s="7">
        <f>RANK(H300,$H$3:$H$1002,0)+COUNTIF($H$3:H300,H300)-1</f>
        <v>46</v>
      </c>
    </row>
    <row r="301" spans="1:13" x14ac:dyDescent="0.35">
      <c r="A301" s="7" t="s">
        <v>633</v>
      </c>
      <c r="B301" s="7" t="s">
        <v>634</v>
      </c>
      <c r="C301" s="8" t="s">
        <v>56</v>
      </c>
      <c r="D301" s="8" t="s">
        <v>57</v>
      </c>
      <c r="E301" s="8">
        <v>73.400000000000006</v>
      </c>
      <c r="F301" s="8">
        <v>4.2</v>
      </c>
      <c r="G301" s="8">
        <v>64</v>
      </c>
      <c r="H301" s="7">
        <f t="shared" si="12"/>
        <v>60.2</v>
      </c>
      <c r="I301" s="7" t="str">
        <f t="shared" si="13"/>
        <v>PASS</v>
      </c>
      <c r="J301" s="7" t="str">
        <f t="shared" si="14"/>
        <v>Medium Risk</v>
      </c>
      <c r="L301" s="7" t="str">
        <f>IF(J301="High Risk",COUNTIF($J$3:J301,"High Risk"),"")</f>
        <v/>
      </c>
      <c r="M301" s="7">
        <f>RANK(H301,$H$3:$H$1002,0)+COUNTIF($H$3:H301,H301)-1</f>
        <v>617</v>
      </c>
    </row>
    <row r="302" spans="1:13" x14ac:dyDescent="0.35">
      <c r="A302" s="7" t="s">
        <v>635</v>
      </c>
      <c r="B302" s="7" t="s">
        <v>636</v>
      </c>
      <c r="C302" s="8" t="s">
        <v>62</v>
      </c>
      <c r="D302" s="8" t="s">
        <v>57</v>
      </c>
      <c r="E302" s="8">
        <v>58.2</v>
      </c>
      <c r="F302" s="8">
        <v>6.3</v>
      </c>
      <c r="G302" s="8">
        <v>51</v>
      </c>
      <c r="H302" s="7">
        <f t="shared" si="12"/>
        <v>56.8</v>
      </c>
      <c r="I302" s="7" t="str">
        <f t="shared" si="13"/>
        <v>PASS</v>
      </c>
      <c r="J302" s="7" t="str">
        <f t="shared" si="14"/>
        <v>Medium Risk</v>
      </c>
      <c r="L302" s="7" t="str">
        <f>IF(J302="High Risk",COUNTIF($J$3:J302,"High Risk"),"")</f>
        <v/>
      </c>
      <c r="M302" s="7">
        <f>RANK(H302,$H$3:$H$1002,0)+COUNTIF($H$3:H302,H302)-1</f>
        <v>688</v>
      </c>
    </row>
    <row r="303" spans="1:13" x14ac:dyDescent="0.35">
      <c r="A303" s="7" t="s">
        <v>637</v>
      </c>
      <c r="B303" s="7" t="s">
        <v>638</v>
      </c>
      <c r="C303" s="8" t="s">
        <v>62</v>
      </c>
      <c r="D303" s="8" t="s">
        <v>68</v>
      </c>
      <c r="E303" s="8">
        <v>49.6</v>
      </c>
      <c r="F303" s="8">
        <v>4.5999999999999996</v>
      </c>
      <c r="G303" s="8">
        <v>51</v>
      </c>
      <c r="H303" s="7">
        <f t="shared" si="12"/>
        <v>49.1</v>
      </c>
      <c r="I303" s="7" t="str">
        <f t="shared" si="13"/>
        <v>FAIL</v>
      </c>
      <c r="J303" s="7" t="str">
        <f t="shared" si="14"/>
        <v>High Risk</v>
      </c>
      <c r="L303" s="7">
        <f>IF(J303="High Risk",COUNTIF($J$3:J303,"High Risk"),"")</f>
        <v>62</v>
      </c>
      <c r="M303" s="7">
        <f>RANK(H303,$H$3:$H$1002,0)+COUNTIF($H$3:H303,H303)-1</f>
        <v>812</v>
      </c>
    </row>
    <row r="304" spans="1:13" x14ac:dyDescent="0.35">
      <c r="A304" s="7" t="s">
        <v>639</v>
      </c>
      <c r="B304" s="7" t="s">
        <v>640</v>
      </c>
      <c r="C304" s="8" t="s">
        <v>56</v>
      </c>
      <c r="D304" s="8" t="s">
        <v>57</v>
      </c>
      <c r="E304" s="8">
        <v>62.5</v>
      </c>
      <c r="F304" s="8">
        <v>2.7</v>
      </c>
      <c r="G304" s="8">
        <v>67</v>
      </c>
      <c r="H304" s="7">
        <f t="shared" si="12"/>
        <v>53.7</v>
      </c>
      <c r="I304" s="7" t="str">
        <f t="shared" si="13"/>
        <v>PASS</v>
      </c>
      <c r="J304" s="7" t="str">
        <f t="shared" si="14"/>
        <v>Medium Risk</v>
      </c>
      <c r="L304" s="7" t="str">
        <f>IF(J304="High Risk",COUNTIF($J$3:J304,"High Risk"),"")</f>
        <v/>
      </c>
      <c r="M304" s="7">
        <f>RANK(H304,$H$3:$H$1002,0)+COUNTIF($H$3:H304,H304)-1</f>
        <v>738</v>
      </c>
    </row>
    <row r="305" spans="1:13" x14ac:dyDescent="0.35">
      <c r="A305" s="7" t="s">
        <v>641</v>
      </c>
      <c r="B305" s="7" t="s">
        <v>642</v>
      </c>
      <c r="C305" s="8" t="s">
        <v>56</v>
      </c>
      <c r="D305" s="8" t="s">
        <v>75</v>
      </c>
      <c r="E305" s="8">
        <v>88.3</v>
      </c>
      <c r="F305" s="8">
        <v>5.0999999999999996</v>
      </c>
      <c r="G305" s="8">
        <v>78</v>
      </c>
      <c r="H305" s="7">
        <f t="shared" si="12"/>
        <v>73</v>
      </c>
      <c r="I305" s="7" t="str">
        <f t="shared" si="13"/>
        <v>PASS</v>
      </c>
      <c r="J305" s="7" t="str">
        <f t="shared" si="14"/>
        <v>Low Risk</v>
      </c>
      <c r="L305" s="7" t="str">
        <f>IF(J305="High Risk",COUNTIF($J$3:J305,"High Risk"),"")</f>
        <v/>
      </c>
      <c r="M305" s="7">
        <f>RANK(H305,$H$3:$H$1002,0)+COUNTIF($H$3:H305,H305)-1</f>
        <v>361</v>
      </c>
    </row>
    <row r="306" spans="1:13" x14ac:dyDescent="0.35">
      <c r="A306" s="7" t="s">
        <v>643</v>
      </c>
      <c r="B306" s="7" t="s">
        <v>593</v>
      </c>
      <c r="C306" s="8" t="s">
        <v>56</v>
      </c>
      <c r="D306" s="8" t="s">
        <v>63</v>
      </c>
      <c r="E306" s="8">
        <v>91.6</v>
      </c>
      <c r="F306" s="8">
        <v>7</v>
      </c>
      <c r="G306" s="8">
        <v>86</v>
      </c>
      <c r="H306" s="7">
        <f t="shared" si="12"/>
        <v>82.9</v>
      </c>
      <c r="I306" s="7" t="str">
        <f t="shared" si="13"/>
        <v>PASS</v>
      </c>
      <c r="J306" s="7" t="str">
        <f t="shared" si="14"/>
        <v>Low Risk</v>
      </c>
      <c r="L306" s="7" t="str">
        <f>IF(J306="High Risk",COUNTIF($J$3:J306,"High Risk"),"")</f>
        <v/>
      </c>
      <c r="M306" s="7">
        <f>RANK(H306,$H$3:$H$1002,0)+COUNTIF($H$3:H306,H306)-1</f>
        <v>198</v>
      </c>
    </row>
    <row r="307" spans="1:13" x14ac:dyDescent="0.35">
      <c r="A307" s="7" t="s">
        <v>644</v>
      </c>
      <c r="B307" s="7" t="s">
        <v>645</v>
      </c>
      <c r="C307" s="8" t="s">
        <v>56</v>
      </c>
      <c r="D307" s="8" t="s">
        <v>57</v>
      </c>
      <c r="E307" s="8">
        <v>77.7</v>
      </c>
      <c r="F307" s="8">
        <v>5.6</v>
      </c>
      <c r="G307" s="8">
        <v>94</v>
      </c>
      <c r="H307" s="7">
        <f t="shared" si="12"/>
        <v>77.7</v>
      </c>
      <c r="I307" s="7" t="str">
        <f t="shared" si="13"/>
        <v>PASS</v>
      </c>
      <c r="J307" s="7" t="str">
        <f t="shared" si="14"/>
        <v>Low Risk</v>
      </c>
      <c r="L307" s="7" t="str">
        <f>IF(J307="High Risk",COUNTIF($J$3:J307,"High Risk"),"")</f>
        <v/>
      </c>
      <c r="M307" s="7">
        <f>RANK(H307,$H$3:$H$1002,0)+COUNTIF($H$3:H307,H307)-1</f>
        <v>280</v>
      </c>
    </row>
    <row r="308" spans="1:13" x14ac:dyDescent="0.35">
      <c r="A308" s="7" t="s">
        <v>646</v>
      </c>
      <c r="B308" s="7" t="s">
        <v>647</v>
      </c>
      <c r="C308" s="8" t="s">
        <v>56</v>
      </c>
      <c r="D308" s="8" t="s">
        <v>68</v>
      </c>
      <c r="E308" s="8">
        <v>96.2</v>
      </c>
      <c r="F308" s="8">
        <v>5.9</v>
      </c>
      <c r="G308" s="8">
        <v>61</v>
      </c>
      <c r="H308" s="7">
        <f t="shared" si="12"/>
        <v>71</v>
      </c>
      <c r="I308" s="7" t="str">
        <f t="shared" si="13"/>
        <v>PASS</v>
      </c>
      <c r="J308" s="7" t="str">
        <f t="shared" si="14"/>
        <v>Low Risk</v>
      </c>
      <c r="L308" s="7" t="str">
        <f>IF(J308="High Risk",COUNTIF($J$3:J308,"High Risk"),"")</f>
        <v/>
      </c>
      <c r="M308" s="7">
        <f>RANK(H308,$H$3:$H$1002,0)+COUNTIF($H$3:H308,H308)-1</f>
        <v>408</v>
      </c>
    </row>
    <row r="309" spans="1:13" x14ac:dyDescent="0.35">
      <c r="A309" s="7" t="s">
        <v>648</v>
      </c>
      <c r="B309" s="7" t="s">
        <v>649</v>
      </c>
      <c r="C309" s="8" t="s">
        <v>62</v>
      </c>
      <c r="D309" s="8" t="s">
        <v>57</v>
      </c>
      <c r="E309" s="8">
        <v>96</v>
      </c>
      <c r="F309" s="8">
        <v>10.4</v>
      </c>
      <c r="G309" s="8">
        <v>93</v>
      </c>
      <c r="H309" s="7">
        <f t="shared" si="12"/>
        <v>96</v>
      </c>
      <c r="I309" s="7" t="str">
        <f t="shared" si="13"/>
        <v>PASS</v>
      </c>
      <c r="J309" s="7" t="str">
        <f t="shared" si="14"/>
        <v>Low Risk</v>
      </c>
      <c r="L309" s="7" t="str">
        <f>IF(J309="High Risk",COUNTIF($J$3:J309,"High Risk"),"")</f>
        <v/>
      </c>
      <c r="M309" s="7">
        <f>RANK(H309,$H$3:$H$1002,0)+COUNTIF($H$3:H309,H309)-1</f>
        <v>47</v>
      </c>
    </row>
    <row r="310" spans="1:13" x14ac:dyDescent="0.35">
      <c r="A310" s="7" t="s">
        <v>650</v>
      </c>
      <c r="B310" s="7" t="s">
        <v>651</v>
      </c>
      <c r="C310" s="8" t="s">
        <v>62</v>
      </c>
      <c r="D310" s="8" t="s">
        <v>63</v>
      </c>
      <c r="E310" s="8">
        <v>62.7</v>
      </c>
      <c r="F310" s="8">
        <v>5.5</v>
      </c>
      <c r="G310" s="8">
        <v>67</v>
      </c>
      <c r="H310" s="7">
        <f t="shared" si="12"/>
        <v>62.1</v>
      </c>
      <c r="I310" s="7" t="str">
        <f t="shared" si="13"/>
        <v>PASS</v>
      </c>
      <c r="J310" s="7" t="str">
        <f t="shared" si="14"/>
        <v>Medium Risk</v>
      </c>
      <c r="L310" s="7" t="str">
        <f>IF(J310="High Risk",COUNTIF($J$3:J310,"High Risk"),"")</f>
        <v/>
      </c>
      <c r="M310" s="7">
        <f>RANK(H310,$H$3:$H$1002,0)+COUNTIF($H$3:H310,H310)-1</f>
        <v>578</v>
      </c>
    </row>
    <row r="311" spans="1:13" x14ac:dyDescent="0.35">
      <c r="A311" s="7" t="s">
        <v>652</v>
      </c>
      <c r="B311" s="7" t="s">
        <v>653</v>
      </c>
      <c r="C311" s="8" t="s">
        <v>56</v>
      </c>
      <c r="D311" s="8" t="s">
        <v>63</v>
      </c>
      <c r="E311" s="8">
        <v>78.400000000000006</v>
      </c>
      <c r="F311" s="8">
        <v>6.5</v>
      </c>
      <c r="G311" s="8">
        <v>76</v>
      </c>
      <c r="H311" s="7">
        <f t="shared" si="12"/>
        <v>73.400000000000006</v>
      </c>
      <c r="I311" s="7" t="str">
        <f t="shared" si="13"/>
        <v>PASS</v>
      </c>
      <c r="J311" s="7" t="str">
        <f t="shared" si="14"/>
        <v>Low Risk</v>
      </c>
      <c r="L311" s="7" t="str">
        <f>IF(J311="High Risk",COUNTIF($J$3:J311,"High Risk"),"")</f>
        <v/>
      </c>
      <c r="M311" s="7">
        <f>RANK(H311,$H$3:$H$1002,0)+COUNTIF($H$3:H311,H311)-1</f>
        <v>351</v>
      </c>
    </row>
    <row r="312" spans="1:13" x14ac:dyDescent="0.35">
      <c r="A312" s="7" t="s">
        <v>654</v>
      </c>
      <c r="B312" s="7" t="s">
        <v>655</v>
      </c>
      <c r="C312" s="8" t="s">
        <v>56</v>
      </c>
      <c r="D312" s="8" t="s">
        <v>63</v>
      </c>
      <c r="E312" s="8">
        <v>34.299999999999997</v>
      </c>
      <c r="F312" s="8">
        <v>1.1000000000000001</v>
      </c>
      <c r="G312" s="8">
        <v>27</v>
      </c>
      <c r="H312" s="7">
        <f t="shared" si="12"/>
        <v>24.4</v>
      </c>
      <c r="I312" s="7" t="str">
        <f t="shared" si="13"/>
        <v>FAIL</v>
      </c>
      <c r="J312" s="7" t="str">
        <f t="shared" si="14"/>
        <v>High Risk</v>
      </c>
      <c r="L312" s="7">
        <f>IF(J312="High Risk",COUNTIF($J$3:J312,"High Risk"),"")</f>
        <v>63</v>
      </c>
      <c r="M312" s="7">
        <f>RANK(H312,$H$3:$H$1002,0)+COUNTIF($H$3:H312,H312)-1</f>
        <v>985</v>
      </c>
    </row>
    <row r="313" spans="1:13" x14ac:dyDescent="0.35">
      <c r="A313" s="7" t="s">
        <v>656</v>
      </c>
      <c r="B313" s="7" t="s">
        <v>657</v>
      </c>
      <c r="C313" s="8" t="s">
        <v>56</v>
      </c>
      <c r="D313" s="8" t="s">
        <v>63</v>
      </c>
      <c r="E313" s="8">
        <v>87.2</v>
      </c>
      <c r="F313" s="8">
        <v>8.5</v>
      </c>
      <c r="G313" s="8">
        <v>78</v>
      </c>
      <c r="H313" s="7">
        <f t="shared" si="12"/>
        <v>82.9</v>
      </c>
      <c r="I313" s="7" t="str">
        <f t="shared" si="13"/>
        <v>PASS</v>
      </c>
      <c r="J313" s="7" t="str">
        <f t="shared" si="14"/>
        <v>Low Risk</v>
      </c>
      <c r="L313" s="7" t="str">
        <f>IF(J313="High Risk",COUNTIF($J$3:J313,"High Risk"),"")</f>
        <v/>
      </c>
      <c r="M313" s="7">
        <f>RANK(H313,$H$3:$H$1002,0)+COUNTIF($H$3:H313,H313)-1</f>
        <v>199</v>
      </c>
    </row>
    <row r="314" spans="1:13" x14ac:dyDescent="0.35">
      <c r="A314" s="7" t="s">
        <v>658</v>
      </c>
      <c r="B314" s="7" t="s">
        <v>659</v>
      </c>
      <c r="C314" s="8" t="s">
        <v>62</v>
      </c>
      <c r="D314" s="8" t="s">
        <v>75</v>
      </c>
      <c r="E314" s="8">
        <v>68</v>
      </c>
      <c r="F314" s="8">
        <v>0</v>
      </c>
      <c r="G314" s="8">
        <v>47</v>
      </c>
      <c r="H314" s="7">
        <f t="shared" si="12"/>
        <v>39.200000000000003</v>
      </c>
      <c r="I314" s="7" t="str">
        <f t="shared" si="13"/>
        <v>FAIL</v>
      </c>
      <c r="J314" s="7" t="str">
        <f t="shared" si="14"/>
        <v>High Risk</v>
      </c>
      <c r="L314" s="7">
        <f>IF(J314="High Risk",COUNTIF($J$3:J314,"High Risk"),"")</f>
        <v>64</v>
      </c>
      <c r="M314" s="7">
        <f>RANK(H314,$H$3:$H$1002,0)+COUNTIF($H$3:H314,H314)-1</f>
        <v>910</v>
      </c>
    </row>
    <row r="315" spans="1:13" x14ac:dyDescent="0.35">
      <c r="A315" s="7" t="s">
        <v>660</v>
      </c>
      <c r="B315" s="7" t="s">
        <v>661</v>
      </c>
      <c r="C315" s="8" t="s">
        <v>62</v>
      </c>
      <c r="D315" s="8" t="s">
        <v>63</v>
      </c>
      <c r="E315" s="8">
        <v>70</v>
      </c>
      <c r="F315" s="8">
        <v>8.1</v>
      </c>
      <c r="G315" s="8">
        <v>74</v>
      </c>
      <c r="H315" s="7">
        <f t="shared" si="12"/>
        <v>74.900000000000006</v>
      </c>
      <c r="I315" s="7" t="str">
        <f t="shared" si="13"/>
        <v>PASS</v>
      </c>
      <c r="J315" s="7" t="str">
        <f t="shared" si="14"/>
        <v>Low Risk</v>
      </c>
      <c r="L315" s="7" t="str">
        <f>IF(J315="High Risk",COUNTIF($J$3:J315,"High Risk"),"")</f>
        <v/>
      </c>
      <c r="M315" s="7">
        <f>RANK(H315,$H$3:$H$1002,0)+COUNTIF($H$3:H315,H315)-1</f>
        <v>325</v>
      </c>
    </row>
    <row r="316" spans="1:13" x14ac:dyDescent="0.35">
      <c r="A316" s="7" t="s">
        <v>662</v>
      </c>
      <c r="B316" s="7" t="s">
        <v>663</v>
      </c>
      <c r="C316" s="8" t="s">
        <v>56</v>
      </c>
      <c r="D316" s="8" t="s">
        <v>75</v>
      </c>
      <c r="E316" s="8">
        <v>76.7</v>
      </c>
      <c r="F316" s="8">
        <v>5.6</v>
      </c>
      <c r="G316" s="8">
        <v>72</v>
      </c>
      <c r="H316" s="7">
        <f t="shared" si="12"/>
        <v>68.599999999999994</v>
      </c>
      <c r="I316" s="7" t="str">
        <f t="shared" si="13"/>
        <v>PASS</v>
      </c>
      <c r="J316" s="7" t="str">
        <f t="shared" si="14"/>
        <v>Low Risk</v>
      </c>
      <c r="L316" s="7" t="str">
        <f>IF(J316="High Risk",COUNTIF($J$3:J316,"High Risk"),"")</f>
        <v/>
      </c>
      <c r="M316" s="7">
        <f>RANK(H316,$H$3:$H$1002,0)+COUNTIF($H$3:H316,H316)-1</f>
        <v>460</v>
      </c>
    </row>
    <row r="317" spans="1:13" x14ac:dyDescent="0.35">
      <c r="A317" s="7" t="s">
        <v>664</v>
      </c>
      <c r="B317" s="7" t="s">
        <v>665</v>
      </c>
      <c r="C317" s="8" t="s">
        <v>62</v>
      </c>
      <c r="D317" s="8" t="s">
        <v>57</v>
      </c>
      <c r="E317" s="8">
        <v>61.9</v>
      </c>
      <c r="F317" s="8">
        <v>2.2999999999999998</v>
      </c>
      <c r="G317" s="8">
        <v>47</v>
      </c>
      <c r="H317" s="7">
        <f t="shared" si="12"/>
        <v>44.3</v>
      </c>
      <c r="I317" s="7" t="str">
        <f t="shared" si="13"/>
        <v>FAIL</v>
      </c>
      <c r="J317" s="7" t="str">
        <f t="shared" si="14"/>
        <v>High Risk</v>
      </c>
      <c r="L317" s="7">
        <f>IF(J317="High Risk",COUNTIF($J$3:J317,"High Risk"),"")</f>
        <v>65</v>
      </c>
      <c r="M317" s="7">
        <f>RANK(H317,$H$3:$H$1002,0)+COUNTIF($H$3:H317,H317)-1</f>
        <v>859</v>
      </c>
    </row>
    <row r="318" spans="1:13" x14ac:dyDescent="0.35">
      <c r="A318" s="7" t="s">
        <v>666</v>
      </c>
      <c r="B318" s="7" t="s">
        <v>482</v>
      </c>
      <c r="C318" s="8" t="s">
        <v>56</v>
      </c>
      <c r="D318" s="8" t="s">
        <v>57</v>
      </c>
      <c r="E318" s="8">
        <v>60.1</v>
      </c>
      <c r="F318" s="8">
        <v>3.1</v>
      </c>
      <c r="G318" s="8">
        <v>58</v>
      </c>
      <c r="H318" s="7">
        <f t="shared" si="12"/>
        <v>50.5</v>
      </c>
      <c r="I318" s="7" t="str">
        <f t="shared" si="13"/>
        <v>PASS</v>
      </c>
      <c r="J318" s="7" t="str">
        <f t="shared" si="14"/>
        <v>Medium Risk</v>
      </c>
      <c r="L318" s="7" t="str">
        <f>IF(J318="High Risk",COUNTIF($J$3:J318,"High Risk"),"")</f>
        <v/>
      </c>
      <c r="M318" s="7">
        <f>RANK(H318,$H$3:$H$1002,0)+COUNTIF($H$3:H318,H318)-1</f>
        <v>793</v>
      </c>
    </row>
    <row r="319" spans="1:13" x14ac:dyDescent="0.35">
      <c r="A319" s="7" t="s">
        <v>667</v>
      </c>
      <c r="B319" s="7" t="s">
        <v>668</v>
      </c>
      <c r="C319" s="8" t="s">
        <v>62</v>
      </c>
      <c r="D319" s="8" t="s">
        <v>63</v>
      </c>
      <c r="E319" s="8">
        <v>30</v>
      </c>
      <c r="F319" s="8">
        <v>0</v>
      </c>
      <c r="G319" s="8">
        <v>30</v>
      </c>
      <c r="H319" s="7">
        <f t="shared" si="12"/>
        <v>21</v>
      </c>
      <c r="I319" s="7" t="str">
        <f t="shared" si="13"/>
        <v>FAIL</v>
      </c>
      <c r="J319" s="7" t="str">
        <f t="shared" si="14"/>
        <v>High Risk</v>
      </c>
      <c r="L319" s="7">
        <f>IF(J319="High Risk",COUNTIF($J$3:J319,"High Risk"),"")</f>
        <v>66</v>
      </c>
      <c r="M319" s="7">
        <f>RANK(H319,$H$3:$H$1002,0)+COUNTIF($H$3:H319,H319)-1</f>
        <v>993</v>
      </c>
    </row>
    <row r="320" spans="1:13" x14ac:dyDescent="0.35">
      <c r="A320" s="7" t="s">
        <v>669</v>
      </c>
      <c r="B320" s="7" t="s">
        <v>630</v>
      </c>
      <c r="C320" s="8" t="s">
        <v>62</v>
      </c>
      <c r="D320" s="8" t="s">
        <v>57</v>
      </c>
      <c r="E320" s="8">
        <v>78.5</v>
      </c>
      <c r="F320" s="8">
        <v>6.6</v>
      </c>
      <c r="G320" s="8">
        <v>69</v>
      </c>
      <c r="H320" s="7">
        <f t="shared" si="12"/>
        <v>71</v>
      </c>
      <c r="I320" s="7" t="str">
        <f t="shared" si="13"/>
        <v>PASS</v>
      </c>
      <c r="J320" s="7" t="str">
        <f t="shared" si="14"/>
        <v>Low Risk</v>
      </c>
      <c r="L320" s="7" t="str">
        <f>IF(J320="High Risk",COUNTIF($J$3:J320,"High Risk"),"")</f>
        <v/>
      </c>
      <c r="M320" s="7">
        <f>RANK(H320,$H$3:$H$1002,0)+COUNTIF($H$3:H320,H320)-1</f>
        <v>409</v>
      </c>
    </row>
    <row r="321" spans="1:13" x14ac:dyDescent="0.35">
      <c r="A321" s="7" t="s">
        <v>670</v>
      </c>
      <c r="B321" s="7" t="s">
        <v>671</v>
      </c>
      <c r="C321" s="8" t="s">
        <v>62</v>
      </c>
      <c r="D321" s="8" t="s">
        <v>57</v>
      </c>
      <c r="E321" s="8">
        <v>80.900000000000006</v>
      </c>
      <c r="F321" s="8">
        <v>4.3</v>
      </c>
      <c r="G321" s="8">
        <v>58</v>
      </c>
      <c r="H321" s="7">
        <f t="shared" si="12"/>
        <v>60.4</v>
      </c>
      <c r="I321" s="7" t="str">
        <f t="shared" si="13"/>
        <v>PASS</v>
      </c>
      <c r="J321" s="7" t="str">
        <f t="shared" si="14"/>
        <v>Medium Risk</v>
      </c>
      <c r="L321" s="7" t="str">
        <f>IF(J321="High Risk",COUNTIF($J$3:J321,"High Risk"),"")</f>
        <v/>
      </c>
      <c r="M321" s="7">
        <f>RANK(H321,$H$3:$H$1002,0)+COUNTIF($H$3:H321,H321)-1</f>
        <v>613</v>
      </c>
    </row>
    <row r="322" spans="1:13" x14ac:dyDescent="0.35">
      <c r="A322" s="7" t="s">
        <v>672</v>
      </c>
      <c r="B322" s="7" t="s">
        <v>673</v>
      </c>
      <c r="C322" s="8" t="s">
        <v>56</v>
      </c>
      <c r="D322" s="8" t="s">
        <v>57</v>
      </c>
      <c r="E322" s="8">
        <v>90.4</v>
      </c>
      <c r="F322" s="8">
        <v>9.5</v>
      </c>
      <c r="G322" s="8">
        <v>74</v>
      </c>
      <c r="H322" s="7">
        <f t="shared" si="12"/>
        <v>85.2</v>
      </c>
      <c r="I322" s="7" t="str">
        <f t="shared" si="13"/>
        <v>PASS</v>
      </c>
      <c r="J322" s="7" t="str">
        <f t="shared" si="14"/>
        <v>Low Risk</v>
      </c>
      <c r="L322" s="7" t="str">
        <f>IF(J322="High Risk",COUNTIF($J$3:J322,"High Risk"),"")</f>
        <v/>
      </c>
      <c r="M322" s="7">
        <f>RANK(H322,$H$3:$H$1002,0)+COUNTIF($H$3:H322,H322)-1</f>
        <v>164</v>
      </c>
    </row>
    <row r="323" spans="1:13" x14ac:dyDescent="0.35">
      <c r="A323" s="7" t="s">
        <v>674</v>
      </c>
      <c r="B323" s="7" t="s">
        <v>243</v>
      </c>
      <c r="C323" s="8" t="s">
        <v>62</v>
      </c>
      <c r="D323" s="8" t="s">
        <v>75</v>
      </c>
      <c r="E323" s="8">
        <v>74.3</v>
      </c>
      <c r="F323" s="8">
        <v>6.4</v>
      </c>
      <c r="G323" s="8">
        <v>71</v>
      </c>
      <c r="H323" s="7">
        <f t="shared" ref="H323:H386" si="15">ROUND(0.4*G323+0.3*E323+0.3*MIN(F323/10,1)*100,1)</f>
        <v>69.900000000000006</v>
      </c>
      <c r="I323" s="7" t="str">
        <f t="shared" ref="I323:I386" si="16">IF(H323&gt;=50,"PASS","FAIL")</f>
        <v>PASS</v>
      </c>
      <c r="J323" s="7" t="str">
        <f t="shared" ref="J323:J386" si="17">IF(H323&lt;50,"High Risk",IF(H323&lt;65,"Medium Risk","Low Risk"))</f>
        <v>Low Risk</v>
      </c>
      <c r="L323" s="7" t="str">
        <f>IF(J323="High Risk",COUNTIF($J$3:J323,"High Risk"),"")</f>
        <v/>
      </c>
      <c r="M323" s="7">
        <f>RANK(H323,$H$3:$H$1002,0)+COUNTIF($H$3:H323,H323)-1</f>
        <v>434</v>
      </c>
    </row>
    <row r="324" spans="1:13" x14ac:dyDescent="0.35">
      <c r="A324" s="7" t="s">
        <v>675</v>
      </c>
      <c r="B324" s="7" t="s">
        <v>676</v>
      </c>
      <c r="C324" s="8" t="s">
        <v>56</v>
      </c>
      <c r="D324" s="8" t="s">
        <v>57</v>
      </c>
      <c r="E324" s="8">
        <v>68.599999999999994</v>
      </c>
      <c r="F324" s="8">
        <v>4</v>
      </c>
      <c r="G324" s="8">
        <v>45</v>
      </c>
      <c r="H324" s="7">
        <f t="shared" si="15"/>
        <v>50.6</v>
      </c>
      <c r="I324" s="7" t="str">
        <f t="shared" si="16"/>
        <v>PASS</v>
      </c>
      <c r="J324" s="7" t="str">
        <f t="shared" si="17"/>
        <v>Medium Risk</v>
      </c>
      <c r="L324" s="7" t="str">
        <f>IF(J324="High Risk",COUNTIF($J$3:J324,"High Risk"),"")</f>
        <v/>
      </c>
      <c r="M324" s="7">
        <f>RANK(H324,$H$3:$H$1002,0)+COUNTIF($H$3:H324,H324)-1</f>
        <v>791</v>
      </c>
    </row>
    <row r="325" spans="1:13" x14ac:dyDescent="0.35">
      <c r="A325" s="7" t="s">
        <v>677</v>
      </c>
      <c r="B325" s="7" t="s">
        <v>678</v>
      </c>
      <c r="C325" s="8" t="s">
        <v>56</v>
      </c>
      <c r="D325" s="8" t="s">
        <v>75</v>
      </c>
      <c r="E325" s="8">
        <v>70.8</v>
      </c>
      <c r="F325" s="8">
        <v>7.6</v>
      </c>
      <c r="G325" s="8">
        <v>66</v>
      </c>
      <c r="H325" s="7">
        <f t="shared" si="15"/>
        <v>70.400000000000006</v>
      </c>
      <c r="I325" s="7" t="str">
        <f t="shared" si="16"/>
        <v>PASS</v>
      </c>
      <c r="J325" s="7" t="str">
        <f t="shared" si="17"/>
        <v>Low Risk</v>
      </c>
      <c r="L325" s="7" t="str">
        <f>IF(J325="High Risk",COUNTIF($J$3:J325,"High Risk"),"")</f>
        <v/>
      </c>
      <c r="M325" s="7">
        <f>RANK(H325,$H$3:$H$1002,0)+COUNTIF($H$3:H325,H325)-1</f>
        <v>422</v>
      </c>
    </row>
    <row r="326" spans="1:13" x14ac:dyDescent="0.35">
      <c r="A326" s="7" t="s">
        <v>679</v>
      </c>
      <c r="B326" s="7" t="s">
        <v>680</v>
      </c>
      <c r="C326" s="8" t="s">
        <v>56</v>
      </c>
      <c r="D326" s="8" t="s">
        <v>63</v>
      </c>
      <c r="E326" s="8">
        <v>88.4</v>
      </c>
      <c r="F326" s="8">
        <v>8.1999999999999993</v>
      </c>
      <c r="G326" s="8">
        <v>74</v>
      </c>
      <c r="H326" s="7">
        <f t="shared" si="15"/>
        <v>80.7</v>
      </c>
      <c r="I326" s="7" t="str">
        <f t="shared" si="16"/>
        <v>PASS</v>
      </c>
      <c r="J326" s="7" t="str">
        <f t="shared" si="17"/>
        <v>Low Risk</v>
      </c>
      <c r="L326" s="7" t="str">
        <f>IF(J326="High Risk",COUNTIF($J$3:J326,"High Risk"),"")</f>
        <v/>
      </c>
      <c r="M326" s="7">
        <f>RANK(H326,$H$3:$H$1002,0)+COUNTIF($H$3:H326,H326)-1</f>
        <v>234</v>
      </c>
    </row>
    <row r="327" spans="1:13" x14ac:dyDescent="0.35">
      <c r="A327" s="7" t="s">
        <v>681</v>
      </c>
      <c r="B327" s="7" t="s">
        <v>389</v>
      </c>
      <c r="C327" s="8" t="s">
        <v>62</v>
      </c>
      <c r="D327" s="8" t="s">
        <v>57</v>
      </c>
      <c r="E327" s="8">
        <v>78.8</v>
      </c>
      <c r="F327" s="8">
        <v>8.1</v>
      </c>
      <c r="G327" s="8">
        <v>77</v>
      </c>
      <c r="H327" s="7">
        <f t="shared" si="15"/>
        <v>78.7</v>
      </c>
      <c r="I327" s="7" t="str">
        <f t="shared" si="16"/>
        <v>PASS</v>
      </c>
      <c r="J327" s="7" t="str">
        <f t="shared" si="17"/>
        <v>Low Risk</v>
      </c>
      <c r="L327" s="7" t="str">
        <f>IF(J327="High Risk",COUNTIF($J$3:J327,"High Risk"),"")</f>
        <v/>
      </c>
      <c r="M327" s="7">
        <f>RANK(H327,$H$3:$H$1002,0)+COUNTIF($H$3:H327,H327)-1</f>
        <v>266</v>
      </c>
    </row>
    <row r="328" spans="1:13" x14ac:dyDescent="0.35">
      <c r="A328" s="7" t="s">
        <v>682</v>
      </c>
      <c r="B328" s="7" t="s">
        <v>130</v>
      </c>
      <c r="C328" s="8" t="s">
        <v>62</v>
      </c>
      <c r="D328" s="8" t="s">
        <v>63</v>
      </c>
      <c r="E328" s="8">
        <v>55.5</v>
      </c>
      <c r="F328" s="8">
        <v>10</v>
      </c>
      <c r="G328" s="8">
        <v>69</v>
      </c>
      <c r="H328" s="7">
        <f t="shared" si="15"/>
        <v>74.3</v>
      </c>
      <c r="I328" s="7" t="str">
        <f t="shared" si="16"/>
        <v>PASS</v>
      </c>
      <c r="J328" s="7" t="str">
        <f t="shared" si="17"/>
        <v>Low Risk</v>
      </c>
      <c r="L328" s="7" t="str">
        <f>IF(J328="High Risk",COUNTIF($J$3:J328,"High Risk"),"")</f>
        <v/>
      </c>
      <c r="M328" s="7">
        <f>RANK(H328,$H$3:$H$1002,0)+COUNTIF($H$3:H328,H328)-1</f>
        <v>334</v>
      </c>
    </row>
    <row r="329" spans="1:13" x14ac:dyDescent="0.35">
      <c r="A329" s="7" t="s">
        <v>683</v>
      </c>
      <c r="B329" s="7" t="s">
        <v>387</v>
      </c>
      <c r="C329" s="8" t="s">
        <v>62</v>
      </c>
      <c r="D329" s="8" t="s">
        <v>75</v>
      </c>
      <c r="E329" s="8">
        <v>94.4</v>
      </c>
      <c r="F329" s="8">
        <v>10</v>
      </c>
      <c r="G329" s="8">
        <v>93</v>
      </c>
      <c r="H329" s="7">
        <f t="shared" si="15"/>
        <v>95.5</v>
      </c>
      <c r="I329" s="7" t="str">
        <f t="shared" si="16"/>
        <v>PASS</v>
      </c>
      <c r="J329" s="7" t="str">
        <f t="shared" si="17"/>
        <v>Low Risk</v>
      </c>
      <c r="L329" s="7" t="str">
        <f>IF(J329="High Risk",COUNTIF($J$3:J329,"High Risk"),"")</f>
        <v/>
      </c>
      <c r="M329" s="7">
        <f>RANK(H329,$H$3:$H$1002,0)+COUNTIF($H$3:H329,H329)-1</f>
        <v>54</v>
      </c>
    </row>
    <row r="330" spans="1:13" x14ac:dyDescent="0.35">
      <c r="A330" s="7" t="s">
        <v>684</v>
      </c>
      <c r="B330" s="7" t="s">
        <v>685</v>
      </c>
      <c r="C330" s="8" t="s">
        <v>62</v>
      </c>
      <c r="D330" s="8" t="s">
        <v>68</v>
      </c>
      <c r="E330" s="8">
        <v>37.5</v>
      </c>
      <c r="F330" s="8">
        <v>2.4</v>
      </c>
      <c r="G330" s="8">
        <v>41</v>
      </c>
      <c r="H330" s="7">
        <f t="shared" si="15"/>
        <v>34.9</v>
      </c>
      <c r="I330" s="7" t="str">
        <f t="shared" si="16"/>
        <v>FAIL</v>
      </c>
      <c r="J330" s="7" t="str">
        <f t="shared" si="17"/>
        <v>High Risk</v>
      </c>
      <c r="L330" s="7">
        <f>IF(J330="High Risk",COUNTIF($J$3:J330,"High Risk"),"")</f>
        <v>67</v>
      </c>
      <c r="M330" s="7">
        <f>RANK(H330,$H$3:$H$1002,0)+COUNTIF($H$3:H330,H330)-1</f>
        <v>946</v>
      </c>
    </row>
    <row r="331" spans="1:13" x14ac:dyDescent="0.35">
      <c r="A331" s="7" t="s">
        <v>686</v>
      </c>
      <c r="B331" s="7" t="s">
        <v>687</v>
      </c>
      <c r="C331" s="8" t="s">
        <v>62</v>
      </c>
      <c r="D331" s="8" t="s">
        <v>63</v>
      </c>
      <c r="E331" s="8">
        <v>50.6</v>
      </c>
      <c r="F331" s="8">
        <v>0</v>
      </c>
      <c r="G331" s="8">
        <v>31</v>
      </c>
      <c r="H331" s="7">
        <f t="shared" si="15"/>
        <v>27.6</v>
      </c>
      <c r="I331" s="7" t="str">
        <f t="shared" si="16"/>
        <v>FAIL</v>
      </c>
      <c r="J331" s="7" t="str">
        <f t="shared" si="17"/>
        <v>High Risk</v>
      </c>
      <c r="L331" s="7">
        <f>IF(J331="High Risk",COUNTIF($J$3:J331,"High Risk"),"")</f>
        <v>68</v>
      </c>
      <c r="M331" s="7">
        <f>RANK(H331,$H$3:$H$1002,0)+COUNTIF($H$3:H331,H331)-1</f>
        <v>975</v>
      </c>
    </row>
    <row r="332" spans="1:13" x14ac:dyDescent="0.35">
      <c r="A332" s="7" t="s">
        <v>688</v>
      </c>
      <c r="B332" s="7" t="s">
        <v>689</v>
      </c>
      <c r="C332" s="8" t="s">
        <v>62</v>
      </c>
      <c r="D332" s="8" t="s">
        <v>57</v>
      </c>
      <c r="E332" s="8">
        <v>86.9</v>
      </c>
      <c r="F332" s="8">
        <v>7.4</v>
      </c>
      <c r="G332" s="8">
        <v>65</v>
      </c>
      <c r="H332" s="7">
        <f t="shared" si="15"/>
        <v>74.3</v>
      </c>
      <c r="I332" s="7" t="str">
        <f t="shared" si="16"/>
        <v>PASS</v>
      </c>
      <c r="J332" s="7" t="str">
        <f t="shared" si="17"/>
        <v>Low Risk</v>
      </c>
      <c r="L332" s="7" t="str">
        <f>IF(J332="High Risk",COUNTIF($J$3:J332,"High Risk"),"")</f>
        <v/>
      </c>
      <c r="M332" s="7">
        <f>RANK(H332,$H$3:$H$1002,0)+COUNTIF($H$3:H332,H332)-1</f>
        <v>335</v>
      </c>
    </row>
    <row r="333" spans="1:13" x14ac:dyDescent="0.35">
      <c r="A333" s="7" t="s">
        <v>690</v>
      </c>
      <c r="B333" s="7" t="s">
        <v>691</v>
      </c>
      <c r="C333" s="8" t="s">
        <v>56</v>
      </c>
      <c r="D333" s="8" t="s">
        <v>75</v>
      </c>
      <c r="E333" s="8">
        <v>67.2</v>
      </c>
      <c r="F333" s="8">
        <v>4.8</v>
      </c>
      <c r="G333" s="8">
        <v>68</v>
      </c>
      <c r="H333" s="7">
        <f t="shared" si="15"/>
        <v>61.8</v>
      </c>
      <c r="I333" s="7" t="str">
        <f t="shared" si="16"/>
        <v>PASS</v>
      </c>
      <c r="J333" s="7" t="str">
        <f t="shared" si="17"/>
        <v>Medium Risk</v>
      </c>
      <c r="L333" s="7" t="str">
        <f>IF(J333="High Risk",COUNTIF($J$3:J333,"High Risk"),"")</f>
        <v/>
      </c>
      <c r="M333" s="7">
        <f>RANK(H333,$H$3:$H$1002,0)+COUNTIF($H$3:H333,H333)-1</f>
        <v>588</v>
      </c>
    </row>
    <row r="334" spans="1:13" x14ac:dyDescent="0.35">
      <c r="A334" s="7" t="s">
        <v>692</v>
      </c>
      <c r="B334" s="7" t="s">
        <v>693</v>
      </c>
      <c r="C334" s="8" t="s">
        <v>56</v>
      </c>
      <c r="D334" s="8" t="s">
        <v>75</v>
      </c>
      <c r="E334" s="8">
        <v>79</v>
      </c>
      <c r="F334" s="8">
        <v>8.4</v>
      </c>
      <c r="G334" s="8">
        <v>61</v>
      </c>
      <c r="H334" s="7">
        <f t="shared" si="15"/>
        <v>73.3</v>
      </c>
      <c r="I334" s="7" t="str">
        <f t="shared" si="16"/>
        <v>PASS</v>
      </c>
      <c r="J334" s="7" t="str">
        <f t="shared" si="17"/>
        <v>Low Risk</v>
      </c>
      <c r="L334" s="7" t="str">
        <f>IF(J334="High Risk",COUNTIF($J$3:J334,"High Risk"),"")</f>
        <v/>
      </c>
      <c r="M334" s="7">
        <f>RANK(H334,$H$3:$H$1002,0)+COUNTIF($H$3:H334,H334)-1</f>
        <v>355</v>
      </c>
    </row>
    <row r="335" spans="1:13" x14ac:dyDescent="0.35">
      <c r="A335" s="7" t="s">
        <v>694</v>
      </c>
      <c r="B335" s="7" t="s">
        <v>695</v>
      </c>
      <c r="C335" s="8" t="s">
        <v>62</v>
      </c>
      <c r="D335" s="8" t="s">
        <v>75</v>
      </c>
      <c r="E335" s="8">
        <v>88.5</v>
      </c>
      <c r="F335" s="8">
        <v>4.9000000000000004</v>
      </c>
      <c r="G335" s="8">
        <v>71</v>
      </c>
      <c r="H335" s="7">
        <f t="shared" si="15"/>
        <v>69.7</v>
      </c>
      <c r="I335" s="7" t="str">
        <f t="shared" si="16"/>
        <v>PASS</v>
      </c>
      <c r="J335" s="7" t="str">
        <f t="shared" si="17"/>
        <v>Low Risk</v>
      </c>
      <c r="L335" s="7" t="str">
        <f>IF(J335="High Risk",COUNTIF($J$3:J335,"High Risk"),"")</f>
        <v/>
      </c>
      <c r="M335" s="7">
        <f>RANK(H335,$H$3:$H$1002,0)+COUNTIF($H$3:H335,H335)-1</f>
        <v>437</v>
      </c>
    </row>
    <row r="336" spans="1:13" x14ac:dyDescent="0.35">
      <c r="A336" s="7" t="s">
        <v>696</v>
      </c>
      <c r="B336" s="7" t="s">
        <v>697</v>
      </c>
      <c r="C336" s="8" t="s">
        <v>62</v>
      </c>
      <c r="D336" s="8" t="s">
        <v>75</v>
      </c>
      <c r="E336" s="8">
        <v>74.099999999999994</v>
      </c>
      <c r="F336" s="8">
        <v>8</v>
      </c>
      <c r="G336" s="8">
        <v>60</v>
      </c>
      <c r="H336" s="7">
        <f t="shared" si="15"/>
        <v>70.2</v>
      </c>
      <c r="I336" s="7" t="str">
        <f t="shared" si="16"/>
        <v>PASS</v>
      </c>
      <c r="J336" s="7" t="str">
        <f t="shared" si="17"/>
        <v>Low Risk</v>
      </c>
      <c r="L336" s="7" t="str">
        <f>IF(J336="High Risk",COUNTIF($J$3:J336,"High Risk"),"")</f>
        <v/>
      </c>
      <c r="M336" s="7">
        <f>RANK(H336,$H$3:$H$1002,0)+COUNTIF($H$3:H336,H336)-1</f>
        <v>427</v>
      </c>
    </row>
    <row r="337" spans="1:13" x14ac:dyDescent="0.35">
      <c r="A337" s="7" t="s">
        <v>698</v>
      </c>
      <c r="B337" s="7" t="s">
        <v>699</v>
      </c>
      <c r="C337" s="8" t="s">
        <v>56</v>
      </c>
      <c r="D337" s="8" t="s">
        <v>57</v>
      </c>
      <c r="E337" s="8">
        <v>83.3</v>
      </c>
      <c r="F337" s="8">
        <v>2.5</v>
      </c>
      <c r="G337" s="8">
        <v>63</v>
      </c>
      <c r="H337" s="7">
        <f t="shared" si="15"/>
        <v>57.7</v>
      </c>
      <c r="I337" s="7" t="str">
        <f t="shared" si="16"/>
        <v>PASS</v>
      </c>
      <c r="J337" s="7" t="str">
        <f t="shared" si="17"/>
        <v>Medium Risk</v>
      </c>
      <c r="L337" s="7" t="str">
        <f>IF(J337="High Risk",COUNTIF($J$3:J337,"High Risk"),"")</f>
        <v/>
      </c>
      <c r="M337" s="7">
        <f>RANK(H337,$H$3:$H$1002,0)+COUNTIF($H$3:H337,H337)-1</f>
        <v>666</v>
      </c>
    </row>
    <row r="338" spans="1:13" x14ac:dyDescent="0.35">
      <c r="A338" s="7" t="s">
        <v>700</v>
      </c>
      <c r="B338" s="7" t="s">
        <v>701</v>
      </c>
      <c r="C338" s="8" t="s">
        <v>56</v>
      </c>
      <c r="D338" s="8" t="s">
        <v>63</v>
      </c>
      <c r="E338" s="8">
        <v>94.3</v>
      </c>
      <c r="F338" s="8">
        <v>5.0999999999999996</v>
      </c>
      <c r="G338" s="8">
        <v>81</v>
      </c>
      <c r="H338" s="7">
        <f t="shared" si="15"/>
        <v>76</v>
      </c>
      <c r="I338" s="7" t="str">
        <f t="shared" si="16"/>
        <v>PASS</v>
      </c>
      <c r="J338" s="7" t="str">
        <f t="shared" si="17"/>
        <v>Low Risk</v>
      </c>
      <c r="L338" s="7" t="str">
        <f>IF(J338="High Risk",COUNTIF($J$3:J338,"High Risk"),"")</f>
        <v/>
      </c>
      <c r="M338" s="7">
        <f>RANK(H338,$H$3:$H$1002,0)+COUNTIF($H$3:H338,H338)-1</f>
        <v>308</v>
      </c>
    </row>
    <row r="339" spans="1:13" x14ac:dyDescent="0.35">
      <c r="A339" s="7" t="s">
        <v>702</v>
      </c>
      <c r="B339" s="7" t="s">
        <v>703</v>
      </c>
      <c r="C339" s="8" t="s">
        <v>56</v>
      </c>
      <c r="D339" s="8" t="s">
        <v>75</v>
      </c>
      <c r="E339" s="8">
        <v>85.6</v>
      </c>
      <c r="F339" s="8">
        <v>7.2</v>
      </c>
      <c r="G339" s="8">
        <v>86</v>
      </c>
      <c r="H339" s="7">
        <f t="shared" si="15"/>
        <v>81.7</v>
      </c>
      <c r="I339" s="7" t="str">
        <f t="shared" si="16"/>
        <v>PASS</v>
      </c>
      <c r="J339" s="7" t="str">
        <f t="shared" si="17"/>
        <v>Low Risk</v>
      </c>
      <c r="L339" s="7" t="str">
        <f>IF(J339="High Risk",COUNTIF($J$3:J339,"High Risk"),"")</f>
        <v/>
      </c>
      <c r="M339" s="7">
        <f>RANK(H339,$H$3:$H$1002,0)+COUNTIF($H$3:H339,H339)-1</f>
        <v>219</v>
      </c>
    </row>
    <row r="340" spans="1:13" x14ac:dyDescent="0.35">
      <c r="A340" s="7" t="s">
        <v>704</v>
      </c>
      <c r="B340" s="7" t="s">
        <v>705</v>
      </c>
      <c r="C340" s="8" t="s">
        <v>56</v>
      </c>
      <c r="D340" s="8" t="s">
        <v>68</v>
      </c>
      <c r="E340" s="8">
        <v>59.3</v>
      </c>
      <c r="F340" s="8">
        <v>4</v>
      </c>
      <c r="G340" s="8">
        <v>54</v>
      </c>
      <c r="H340" s="7">
        <f t="shared" si="15"/>
        <v>51.4</v>
      </c>
      <c r="I340" s="7" t="str">
        <f t="shared" si="16"/>
        <v>PASS</v>
      </c>
      <c r="J340" s="7" t="str">
        <f t="shared" si="17"/>
        <v>Medium Risk</v>
      </c>
      <c r="L340" s="7" t="str">
        <f>IF(J340="High Risk",COUNTIF($J$3:J340,"High Risk"),"")</f>
        <v/>
      </c>
      <c r="M340" s="7">
        <f>RANK(H340,$H$3:$H$1002,0)+COUNTIF($H$3:H340,H340)-1</f>
        <v>779</v>
      </c>
    </row>
    <row r="341" spans="1:13" x14ac:dyDescent="0.35">
      <c r="A341" s="7" t="s">
        <v>706</v>
      </c>
      <c r="B341" s="7" t="s">
        <v>707</v>
      </c>
      <c r="C341" s="8" t="s">
        <v>62</v>
      </c>
      <c r="D341" s="8" t="s">
        <v>75</v>
      </c>
      <c r="E341" s="8">
        <v>68.7</v>
      </c>
      <c r="F341" s="8">
        <v>5.4</v>
      </c>
      <c r="G341" s="8">
        <v>58</v>
      </c>
      <c r="H341" s="7">
        <f t="shared" si="15"/>
        <v>60</v>
      </c>
      <c r="I341" s="7" t="str">
        <f t="shared" si="16"/>
        <v>PASS</v>
      </c>
      <c r="J341" s="7" t="str">
        <f t="shared" si="17"/>
        <v>Medium Risk</v>
      </c>
      <c r="L341" s="7" t="str">
        <f>IF(J341="High Risk",COUNTIF($J$3:J341,"High Risk"),"")</f>
        <v/>
      </c>
      <c r="M341" s="7">
        <f>RANK(H341,$H$3:$H$1002,0)+COUNTIF($H$3:H341,H341)-1</f>
        <v>621</v>
      </c>
    </row>
    <row r="342" spans="1:13" x14ac:dyDescent="0.35">
      <c r="A342" s="7" t="s">
        <v>708</v>
      </c>
      <c r="B342" s="7" t="s">
        <v>709</v>
      </c>
      <c r="C342" s="8" t="s">
        <v>62</v>
      </c>
      <c r="D342" s="8" t="s">
        <v>68</v>
      </c>
      <c r="E342" s="8">
        <v>65.099999999999994</v>
      </c>
      <c r="F342" s="8">
        <v>4.9000000000000004</v>
      </c>
      <c r="G342" s="8">
        <v>60</v>
      </c>
      <c r="H342" s="7">
        <f t="shared" si="15"/>
        <v>58.2</v>
      </c>
      <c r="I342" s="7" t="str">
        <f t="shared" si="16"/>
        <v>PASS</v>
      </c>
      <c r="J342" s="7" t="str">
        <f t="shared" si="17"/>
        <v>Medium Risk</v>
      </c>
      <c r="L342" s="7" t="str">
        <f>IF(J342="High Risk",COUNTIF($J$3:J342,"High Risk"),"")</f>
        <v/>
      </c>
      <c r="M342" s="7">
        <f>RANK(H342,$H$3:$H$1002,0)+COUNTIF($H$3:H342,H342)-1</f>
        <v>657</v>
      </c>
    </row>
    <row r="343" spans="1:13" x14ac:dyDescent="0.35">
      <c r="A343" s="7" t="s">
        <v>710</v>
      </c>
      <c r="B343" s="7" t="s">
        <v>235</v>
      </c>
      <c r="C343" s="8" t="s">
        <v>56</v>
      </c>
      <c r="D343" s="8" t="s">
        <v>57</v>
      </c>
      <c r="E343" s="8">
        <v>90.9</v>
      </c>
      <c r="F343" s="8">
        <v>8.9</v>
      </c>
      <c r="G343" s="8">
        <v>81</v>
      </c>
      <c r="H343" s="7">
        <f t="shared" si="15"/>
        <v>86.4</v>
      </c>
      <c r="I343" s="7" t="str">
        <f t="shared" si="16"/>
        <v>PASS</v>
      </c>
      <c r="J343" s="7" t="str">
        <f t="shared" si="17"/>
        <v>Low Risk</v>
      </c>
      <c r="L343" s="7" t="str">
        <f>IF(J343="High Risk",COUNTIF($J$3:J343,"High Risk"),"")</f>
        <v/>
      </c>
      <c r="M343" s="7">
        <f>RANK(H343,$H$3:$H$1002,0)+COUNTIF($H$3:H343,H343)-1</f>
        <v>149</v>
      </c>
    </row>
    <row r="344" spans="1:13" x14ac:dyDescent="0.35">
      <c r="A344" s="7" t="s">
        <v>711</v>
      </c>
      <c r="B344" s="7" t="s">
        <v>291</v>
      </c>
      <c r="C344" s="8" t="s">
        <v>56</v>
      </c>
      <c r="D344" s="8" t="s">
        <v>75</v>
      </c>
      <c r="E344" s="8">
        <v>57.3</v>
      </c>
      <c r="F344" s="8">
        <v>6.5</v>
      </c>
      <c r="G344" s="8">
        <v>39</v>
      </c>
      <c r="H344" s="7">
        <f t="shared" si="15"/>
        <v>52.3</v>
      </c>
      <c r="I344" s="7" t="str">
        <f t="shared" si="16"/>
        <v>PASS</v>
      </c>
      <c r="J344" s="7" t="str">
        <f t="shared" si="17"/>
        <v>Medium Risk</v>
      </c>
      <c r="L344" s="7" t="str">
        <f>IF(J344="High Risk",COUNTIF($J$3:J344,"High Risk"),"")</f>
        <v/>
      </c>
      <c r="M344" s="7">
        <f>RANK(H344,$H$3:$H$1002,0)+COUNTIF($H$3:H344,H344)-1</f>
        <v>766</v>
      </c>
    </row>
    <row r="345" spans="1:13" x14ac:dyDescent="0.35">
      <c r="A345" s="7" t="s">
        <v>712</v>
      </c>
      <c r="B345" s="7" t="s">
        <v>713</v>
      </c>
      <c r="C345" s="8" t="s">
        <v>56</v>
      </c>
      <c r="D345" s="8" t="s">
        <v>75</v>
      </c>
      <c r="E345" s="8">
        <v>88.7</v>
      </c>
      <c r="F345" s="8">
        <v>6.8</v>
      </c>
      <c r="G345" s="8">
        <v>74</v>
      </c>
      <c r="H345" s="7">
        <f t="shared" si="15"/>
        <v>76.599999999999994</v>
      </c>
      <c r="I345" s="7" t="str">
        <f t="shared" si="16"/>
        <v>PASS</v>
      </c>
      <c r="J345" s="7" t="str">
        <f t="shared" si="17"/>
        <v>Low Risk</v>
      </c>
      <c r="L345" s="7" t="str">
        <f>IF(J345="High Risk",COUNTIF($J$3:J345,"High Risk"),"")</f>
        <v/>
      </c>
      <c r="M345" s="7">
        <f>RANK(H345,$H$3:$H$1002,0)+COUNTIF($H$3:H345,H345)-1</f>
        <v>296</v>
      </c>
    </row>
    <row r="346" spans="1:13" x14ac:dyDescent="0.35">
      <c r="A346" s="7" t="s">
        <v>714</v>
      </c>
      <c r="B346" s="7" t="s">
        <v>715</v>
      </c>
      <c r="C346" s="8" t="s">
        <v>62</v>
      </c>
      <c r="D346" s="8" t="s">
        <v>57</v>
      </c>
      <c r="E346" s="8">
        <v>71.5</v>
      </c>
      <c r="F346" s="8">
        <v>6.5</v>
      </c>
      <c r="G346" s="8">
        <v>80</v>
      </c>
      <c r="H346" s="7">
        <f t="shared" si="15"/>
        <v>73</v>
      </c>
      <c r="I346" s="7" t="str">
        <f t="shared" si="16"/>
        <v>PASS</v>
      </c>
      <c r="J346" s="7" t="str">
        <f t="shared" si="17"/>
        <v>Low Risk</v>
      </c>
      <c r="L346" s="7" t="str">
        <f>IF(J346="High Risk",COUNTIF($J$3:J346,"High Risk"),"")</f>
        <v/>
      </c>
      <c r="M346" s="7">
        <f>RANK(H346,$H$3:$H$1002,0)+COUNTIF($H$3:H346,H346)-1</f>
        <v>362</v>
      </c>
    </row>
    <row r="347" spans="1:13" x14ac:dyDescent="0.35">
      <c r="A347" s="7" t="s">
        <v>716</v>
      </c>
      <c r="B347" s="7" t="s">
        <v>717</v>
      </c>
      <c r="C347" s="8" t="s">
        <v>62</v>
      </c>
      <c r="D347" s="8" t="s">
        <v>68</v>
      </c>
      <c r="E347" s="8">
        <v>69</v>
      </c>
      <c r="F347" s="8">
        <v>8</v>
      </c>
      <c r="G347" s="8">
        <v>61</v>
      </c>
      <c r="H347" s="7">
        <f t="shared" si="15"/>
        <v>69.099999999999994</v>
      </c>
      <c r="I347" s="7" t="str">
        <f t="shared" si="16"/>
        <v>PASS</v>
      </c>
      <c r="J347" s="7" t="str">
        <f t="shared" si="17"/>
        <v>Low Risk</v>
      </c>
      <c r="L347" s="7" t="str">
        <f>IF(J347="High Risk",COUNTIF($J$3:J347,"High Risk"),"")</f>
        <v/>
      </c>
      <c r="M347" s="7">
        <f>RANK(H347,$H$3:$H$1002,0)+COUNTIF($H$3:H347,H347)-1</f>
        <v>450</v>
      </c>
    </row>
    <row r="348" spans="1:13" x14ac:dyDescent="0.35">
      <c r="A348" s="7" t="s">
        <v>718</v>
      </c>
      <c r="B348" s="7" t="s">
        <v>719</v>
      </c>
      <c r="C348" s="8" t="s">
        <v>62</v>
      </c>
      <c r="D348" s="8" t="s">
        <v>57</v>
      </c>
      <c r="E348" s="8">
        <v>82.2</v>
      </c>
      <c r="F348" s="8">
        <v>2.1</v>
      </c>
      <c r="G348" s="8">
        <v>54</v>
      </c>
      <c r="H348" s="7">
        <f t="shared" si="15"/>
        <v>52.6</v>
      </c>
      <c r="I348" s="7" t="str">
        <f t="shared" si="16"/>
        <v>PASS</v>
      </c>
      <c r="J348" s="7" t="str">
        <f t="shared" si="17"/>
        <v>Medium Risk</v>
      </c>
      <c r="L348" s="7" t="str">
        <f>IF(J348="High Risk",COUNTIF($J$3:J348,"High Risk"),"")</f>
        <v/>
      </c>
      <c r="M348" s="7">
        <f>RANK(H348,$H$3:$H$1002,0)+COUNTIF($H$3:H348,H348)-1</f>
        <v>761</v>
      </c>
    </row>
    <row r="349" spans="1:13" x14ac:dyDescent="0.35">
      <c r="A349" s="7" t="s">
        <v>720</v>
      </c>
      <c r="B349" s="7" t="s">
        <v>721</v>
      </c>
      <c r="C349" s="8" t="s">
        <v>62</v>
      </c>
      <c r="D349" s="8" t="s">
        <v>57</v>
      </c>
      <c r="E349" s="8">
        <v>100</v>
      </c>
      <c r="F349" s="8">
        <v>10</v>
      </c>
      <c r="G349" s="8">
        <v>79</v>
      </c>
      <c r="H349" s="7">
        <f t="shared" si="15"/>
        <v>91.6</v>
      </c>
      <c r="I349" s="7" t="str">
        <f t="shared" si="16"/>
        <v>PASS</v>
      </c>
      <c r="J349" s="7" t="str">
        <f t="shared" si="17"/>
        <v>Low Risk</v>
      </c>
      <c r="L349" s="7" t="str">
        <f>IF(J349="High Risk",COUNTIF($J$3:J349,"High Risk"),"")</f>
        <v/>
      </c>
      <c r="M349" s="7">
        <f>RANK(H349,$H$3:$H$1002,0)+COUNTIF($H$3:H349,H349)-1</f>
        <v>87</v>
      </c>
    </row>
    <row r="350" spans="1:13" x14ac:dyDescent="0.35">
      <c r="A350" s="7" t="s">
        <v>722</v>
      </c>
      <c r="B350" s="7" t="s">
        <v>723</v>
      </c>
      <c r="C350" s="8" t="s">
        <v>56</v>
      </c>
      <c r="D350" s="8" t="s">
        <v>75</v>
      </c>
      <c r="E350" s="8">
        <v>86.4</v>
      </c>
      <c r="F350" s="8">
        <v>6.3</v>
      </c>
      <c r="G350" s="8">
        <v>58</v>
      </c>
      <c r="H350" s="7">
        <f t="shared" si="15"/>
        <v>68</v>
      </c>
      <c r="I350" s="7" t="str">
        <f t="shared" si="16"/>
        <v>PASS</v>
      </c>
      <c r="J350" s="7" t="str">
        <f t="shared" si="17"/>
        <v>Low Risk</v>
      </c>
      <c r="L350" s="7" t="str">
        <f>IF(J350="High Risk",COUNTIF($J$3:J350,"High Risk"),"")</f>
        <v/>
      </c>
      <c r="M350" s="7">
        <f>RANK(H350,$H$3:$H$1002,0)+COUNTIF($H$3:H350,H350)-1</f>
        <v>473</v>
      </c>
    </row>
    <row r="351" spans="1:13" x14ac:dyDescent="0.35">
      <c r="A351" s="7" t="s">
        <v>724</v>
      </c>
      <c r="B351" s="7" t="s">
        <v>612</v>
      </c>
      <c r="C351" s="8" t="s">
        <v>56</v>
      </c>
      <c r="D351" s="8" t="s">
        <v>68</v>
      </c>
      <c r="E351" s="8">
        <v>64.099999999999994</v>
      </c>
      <c r="F351" s="8">
        <v>4.5999999999999996</v>
      </c>
      <c r="G351" s="8">
        <v>45</v>
      </c>
      <c r="H351" s="7">
        <f t="shared" si="15"/>
        <v>51</v>
      </c>
      <c r="I351" s="7" t="str">
        <f t="shared" si="16"/>
        <v>PASS</v>
      </c>
      <c r="J351" s="7" t="str">
        <f t="shared" si="17"/>
        <v>Medium Risk</v>
      </c>
      <c r="L351" s="7" t="str">
        <f>IF(J351="High Risk",COUNTIF($J$3:J351,"High Risk"),"")</f>
        <v/>
      </c>
      <c r="M351" s="7">
        <f>RANK(H351,$H$3:$H$1002,0)+COUNTIF($H$3:H351,H351)-1</f>
        <v>786</v>
      </c>
    </row>
    <row r="352" spans="1:13" x14ac:dyDescent="0.35">
      <c r="A352" s="7" t="s">
        <v>725</v>
      </c>
      <c r="B352" s="7" t="s">
        <v>726</v>
      </c>
      <c r="C352" s="8" t="s">
        <v>56</v>
      </c>
      <c r="D352" s="8" t="s">
        <v>57</v>
      </c>
      <c r="E352" s="8">
        <v>72.5</v>
      </c>
      <c r="F352" s="8">
        <v>5.6</v>
      </c>
      <c r="G352" s="8">
        <v>81</v>
      </c>
      <c r="H352" s="7">
        <f t="shared" si="15"/>
        <v>71</v>
      </c>
      <c r="I352" s="7" t="str">
        <f t="shared" si="16"/>
        <v>PASS</v>
      </c>
      <c r="J352" s="7" t="str">
        <f t="shared" si="17"/>
        <v>Low Risk</v>
      </c>
      <c r="L352" s="7" t="str">
        <f>IF(J352="High Risk",COUNTIF($J$3:J352,"High Risk"),"")</f>
        <v/>
      </c>
      <c r="M352" s="7">
        <f>RANK(H352,$H$3:$H$1002,0)+COUNTIF($H$3:H352,H352)-1</f>
        <v>410</v>
      </c>
    </row>
    <row r="353" spans="1:13" x14ac:dyDescent="0.35">
      <c r="A353" s="7" t="s">
        <v>727</v>
      </c>
      <c r="B353" s="7" t="s">
        <v>728</v>
      </c>
      <c r="C353" s="8" t="s">
        <v>62</v>
      </c>
      <c r="D353" s="8" t="s">
        <v>57</v>
      </c>
      <c r="E353" s="8">
        <v>83</v>
      </c>
      <c r="F353" s="8">
        <v>8</v>
      </c>
      <c r="G353" s="8">
        <v>70</v>
      </c>
      <c r="H353" s="7">
        <f t="shared" si="15"/>
        <v>76.900000000000006</v>
      </c>
      <c r="I353" s="7" t="str">
        <f t="shared" si="16"/>
        <v>PASS</v>
      </c>
      <c r="J353" s="7" t="str">
        <f t="shared" si="17"/>
        <v>Low Risk</v>
      </c>
      <c r="L353" s="7" t="str">
        <f>IF(J353="High Risk",COUNTIF($J$3:J353,"High Risk"),"")</f>
        <v/>
      </c>
      <c r="M353" s="7">
        <f>RANK(H353,$H$3:$H$1002,0)+COUNTIF($H$3:H353,H353)-1</f>
        <v>290</v>
      </c>
    </row>
    <row r="354" spans="1:13" x14ac:dyDescent="0.35">
      <c r="A354" s="7" t="s">
        <v>729</v>
      </c>
      <c r="B354" s="7" t="s">
        <v>730</v>
      </c>
      <c r="C354" s="8" t="s">
        <v>62</v>
      </c>
      <c r="D354" s="8" t="s">
        <v>57</v>
      </c>
      <c r="E354" s="8">
        <v>86.5</v>
      </c>
      <c r="F354" s="8">
        <v>4.0999999999999996</v>
      </c>
      <c r="G354" s="8">
        <v>70</v>
      </c>
      <c r="H354" s="7">
        <f t="shared" si="15"/>
        <v>66.3</v>
      </c>
      <c r="I354" s="7" t="str">
        <f t="shared" si="16"/>
        <v>PASS</v>
      </c>
      <c r="J354" s="7" t="str">
        <f t="shared" si="17"/>
        <v>Low Risk</v>
      </c>
      <c r="L354" s="7" t="str">
        <f>IF(J354="High Risk",COUNTIF($J$3:J354,"High Risk"),"")</f>
        <v/>
      </c>
      <c r="M354" s="7">
        <f>RANK(H354,$H$3:$H$1002,0)+COUNTIF($H$3:H354,H354)-1</f>
        <v>505</v>
      </c>
    </row>
    <row r="355" spans="1:13" x14ac:dyDescent="0.35">
      <c r="A355" s="7" t="s">
        <v>731</v>
      </c>
      <c r="B355" s="7" t="s">
        <v>732</v>
      </c>
      <c r="C355" s="8" t="s">
        <v>56</v>
      </c>
      <c r="D355" s="8" t="s">
        <v>68</v>
      </c>
      <c r="E355" s="8">
        <v>100</v>
      </c>
      <c r="F355" s="8">
        <v>13.5</v>
      </c>
      <c r="G355" s="8">
        <v>100</v>
      </c>
      <c r="H355" s="7">
        <f t="shared" si="15"/>
        <v>100</v>
      </c>
      <c r="I355" s="7" t="str">
        <f t="shared" si="16"/>
        <v>PASS</v>
      </c>
      <c r="J355" s="7" t="str">
        <f t="shared" si="17"/>
        <v>Low Risk</v>
      </c>
      <c r="L355" s="7" t="str">
        <f>IF(J355="High Risk",COUNTIF($J$3:J355,"High Risk"),"")</f>
        <v/>
      </c>
      <c r="M355" s="7">
        <f>RANK(H355,$H$3:$H$1002,0)+COUNTIF($H$3:H355,H355)-1</f>
        <v>5</v>
      </c>
    </row>
    <row r="356" spans="1:13" x14ac:dyDescent="0.35">
      <c r="A356" s="7" t="s">
        <v>733</v>
      </c>
      <c r="B356" s="7" t="s">
        <v>421</v>
      </c>
      <c r="C356" s="8" t="s">
        <v>56</v>
      </c>
      <c r="D356" s="8" t="s">
        <v>63</v>
      </c>
      <c r="E356" s="8">
        <v>75.099999999999994</v>
      </c>
      <c r="F356" s="8">
        <v>7.1</v>
      </c>
      <c r="G356" s="8">
        <v>70</v>
      </c>
      <c r="H356" s="7">
        <f t="shared" si="15"/>
        <v>71.8</v>
      </c>
      <c r="I356" s="7" t="str">
        <f t="shared" si="16"/>
        <v>PASS</v>
      </c>
      <c r="J356" s="7" t="str">
        <f t="shared" si="17"/>
        <v>Low Risk</v>
      </c>
      <c r="L356" s="7" t="str">
        <f>IF(J356="High Risk",COUNTIF($J$3:J356,"High Risk"),"")</f>
        <v/>
      </c>
      <c r="M356" s="7">
        <f>RANK(H356,$H$3:$H$1002,0)+COUNTIF($H$3:H356,H356)-1</f>
        <v>393</v>
      </c>
    </row>
    <row r="357" spans="1:13" x14ac:dyDescent="0.35">
      <c r="A357" s="7" t="s">
        <v>734</v>
      </c>
      <c r="B357" s="7" t="s">
        <v>735</v>
      </c>
      <c r="C357" s="8" t="s">
        <v>62</v>
      </c>
      <c r="D357" s="8" t="s">
        <v>75</v>
      </c>
      <c r="E357" s="8">
        <v>100</v>
      </c>
      <c r="F357" s="8">
        <v>10.199999999999999</v>
      </c>
      <c r="G357" s="8">
        <v>82</v>
      </c>
      <c r="H357" s="7">
        <f t="shared" si="15"/>
        <v>92.8</v>
      </c>
      <c r="I357" s="7" t="str">
        <f t="shared" si="16"/>
        <v>PASS</v>
      </c>
      <c r="J357" s="7" t="str">
        <f t="shared" si="17"/>
        <v>Low Risk</v>
      </c>
      <c r="L357" s="7" t="str">
        <f>IF(J357="High Risk",COUNTIF($J$3:J357,"High Risk"),"")</f>
        <v/>
      </c>
      <c r="M357" s="7">
        <f>RANK(H357,$H$3:$H$1002,0)+COUNTIF($H$3:H357,H357)-1</f>
        <v>75</v>
      </c>
    </row>
    <row r="358" spans="1:13" x14ac:dyDescent="0.35">
      <c r="A358" s="7" t="s">
        <v>736</v>
      </c>
      <c r="B358" s="7" t="s">
        <v>737</v>
      </c>
      <c r="C358" s="8" t="s">
        <v>62</v>
      </c>
      <c r="D358" s="8" t="s">
        <v>68</v>
      </c>
      <c r="E358" s="8">
        <v>60.9</v>
      </c>
      <c r="F358" s="8">
        <v>0.1</v>
      </c>
      <c r="G358" s="8">
        <v>41</v>
      </c>
      <c r="H358" s="7">
        <f t="shared" si="15"/>
        <v>35</v>
      </c>
      <c r="I358" s="7" t="str">
        <f t="shared" si="16"/>
        <v>FAIL</v>
      </c>
      <c r="J358" s="7" t="str">
        <f t="shared" si="17"/>
        <v>High Risk</v>
      </c>
      <c r="L358" s="7">
        <f>IF(J358="High Risk",COUNTIF($J$3:J358,"High Risk"),"")</f>
        <v>69</v>
      </c>
      <c r="M358" s="7">
        <f>RANK(H358,$H$3:$H$1002,0)+COUNTIF($H$3:H358,H358)-1</f>
        <v>944</v>
      </c>
    </row>
    <row r="359" spans="1:13" x14ac:dyDescent="0.35">
      <c r="A359" s="7" t="s">
        <v>738</v>
      </c>
      <c r="B359" s="7" t="s">
        <v>144</v>
      </c>
      <c r="C359" s="8" t="s">
        <v>56</v>
      </c>
      <c r="D359" s="8" t="s">
        <v>63</v>
      </c>
      <c r="E359" s="8">
        <v>50.8</v>
      </c>
      <c r="F359" s="8">
        <v>4.9000000000000004</v>
      </c>
      <c r="G359" s="8">
        <v>49</v>
      </c>
      <c r="H359" s="7">
        <f t="shared" si="15"/>
        <v>49.5</v>
      </c>
      <c r="I359" s="7" t="str">
        <f t="shared" si="16"/>
        <v>FAIL</v>
      </c>
      <c r="J359" s="7" t="str">
        <f t="shared" si="17"/>
        <v>High Risk</v>
      </c>
      <c r="L359" s="7">
        <f>IF(J359="High Risk",COUNTIF($J$3:J359,"High Risk"),"")</f>
        <v>70</v>
      </c>
      <c r="M359" s="7">
        <f>RANK(H359,$H$3:$H$1002,0)+COUNTIF($H$3:H359,H359)-1</f>
        <v>805</v>
      </c>
    </row>
    <row r="360" spans="1:13" x14ac:dyDescent="0.35">
      <c r="A360" s="7" t="s">
        <v>739</v>
      </c>
      <c r="B360" s="7" t="s">
        <v>740</v>
      </c>
      <c r="C360" s="8" t="s">
        <v>62</v>
      </c>
      <c r="D360" s="8" t="s">
        <v>75</v>
      </c>
      <c r="E360" s="8">
        <v>75.400000000000006</v>
      </c>
      <c r="F360" s="8">
        <v>4.2</v>
      </c>
      <c r="G360" s="8">
        <v>59</v>
      </c>
      <c r="H360" s="7">
        <f t="shared" si="15"/>
        <v>58.8</v>
      </c>
      <c r="I360" s="7" t="str">
        <f t="shared" si="16"/>
        <v>PASS</v>
      </c>
      <c r="J360" s="7" t="str">
        <f t="shared" si="17"/>
        <v>Medium Risk</v>
      </c>
      <c r="L360" s="7" t="str">
        <f>IF(J360="High Risk",COUNTIF($J$3:J360,"High Risk"),"")</f>
        <v/>
      </c>
      <c r="M360" s="7">
        <f>RANK(H360,$H$3:$H$1002,0)+COUNTIF($H$3:H360,H360)-1</f>
        <v>645</v>
      </c>
    </row>
    <row r="361" spans="1:13" x14ac:dyDescent="0.35">
      <c r="A361" s="7" t="s">
        <v>741</v>
      </c>
      <c r="B361" s="7" t="s">
        <v>742</v>
      </c>
      <c r="C361" s="8" t="s">
        <v>62</v>
      </c>
      <c r="D361" s="8" t="s">
        <v>68</v>
      </c>
      <c r="E361" s="8">
        <v>72.900000000000006</v>
      </c>
      <c r="F361" s="8">
        <v>3.7</v>
      </c>
      <c r="G361" s="8">
        <v>56</v>
      </c>
      <c r="H361" s="7">
        <f t="shared" si="15"/>
        <v>55.4</v>
      </c>
      <c r="I361" s="7" t="str">
        <f t="shared" si="16"/>
        <v>PASS</v>
      </c>
      <c r="J361" s="7" t="str">
        <f t="shared" si="17"/>
        <v>Medium Risk</v>
      </c>
      <c r="L361" s="7" t="str">
        <f>IF(J361="High Risk",COUNTIF($J$3:J361,"High Risk"),"")</f>
        <v/>
      </c>
      <c r="M361" s="7">
        <f>RANK(H361,$H$3:$H$1002,0)+COUNTIF($H$3:H361,H361)-1</f>
        <v>703</v>
      </c>
    </row>
    <row r="362" spans="1:13" x14ac:dyDescent="0.35">
      <c r="A362" s="7" t="s">
        <v>743</v>
      </c>
      <c r="B362" s="7" t="s">
        <v>97</v>
      </c>
      <c r="C362" s="8" t="s">
        <v>56</v>
      </c>
      <c r="D362" s="8" t="s">
        <v>68</v>
      </c>
      <c r="E362" s="8">
        <v>74.599999999999994</v>
      </c>
      <c r="F362" s="8">
        <v>7.1</v>
      </c>
      <c r="G362" s="8">
        <v>63</v>
      </c>
      <c r="H362" s="7">
        <f t="shared" si="15"/>
        <v>68.900000000000006</v>
      </c>
      <c r="I362" s="7" t="str">
        <f t="shared" si="16"/>
        <v>PASS</v>
      </c>
      <c r="J362" s="7" t="str">
        <f t="shared" si="17"/>
        <v>Low Risk</v>
      </c>
      <c r="L362" s="7" t="str">
        <f>IF(J362="High Risk",COUNTIF($J$3:J362,"High Risk"),"")</f>
        <v/>
      </c>
      <c r="M362" s="7">
        <f>RANK(H362,$H$3:$H$1002,0)+COUNTIF($H$3:H362,H362)-1</f>
        <v>454</v>
      </c>
    </row>
    <row r="363" spans="1:13" x14ac:dyDescent="0.35">
      <c r="A363" s="7" t="s">
        <v>744</v>
      </c>
      <c r="B363" s="7" t="s">
        <v>745</v>
      </c>
      <c r="C363" s="8" t="s">
        <v>56</v>
      </c>
      <c r="D363" s="8" t="s">
        <v>75</v>
      </c>
      <c r="E363" s="8">
        <v>85</v>
      </c>
      <c r="F363" s="8">
        <v>11</v>
      </c>
      <c r="G363" s="8">
        <v>90</v>
      </c>
      <c r="H363" s="7">
        <f t="shared" si="15"/>
        <v>91.5</v>
      </c>
      <c r="I363" s="7" t="str">
        <f t="shared" si="16"/>
        <v>PASS</v>
      </c>
      <c r="J363" s="7" t="str">
        <f t="shared" si="17"/>
        <v>Low Risk</v>
      </c>
      <c r="L363" s="7" t="str">
        <f>IF(J363="High Risk",COUNTIF($J$3:J363,"High Risk"),"")</f>
        <v/>
      </c>
      <c r="M363" s="7">
        <f>RANK(H363,$H$3:$H$1002,0)+COUNTIF($H$3:H363,H363)-1</f>
        <v>88</v>
      </c>
    </row>
    <row r="364" spans="1:13" x14ac:dyDescent="0.35">
      <c r="A364" s="7" t="s">
        <v>746</v>
      </c>
      <c r="B364" s="7" t="s">
        <v>747</v>
      </c>
      <c r="C364" s="8" t="s">
        <v>56</v>
      </c>
      <c r="D364" s="8" t="s">
        <v>68</v>
      </c>
      <c r="E364" s="8">
        <v>89.6</v>
      </c>
      <c r="F364" s="8">
        <v>6.3</v>
      </c>
      <c r="G364" s="8">
        <v>83</v>
      </c>
      <c r="H364" s="7">
        <f t="shared" si="15"/>
        <v>79</v>
      </c>
      <c r="I364" s="7" t="str">
        <f t="shared" si="16"/>
        <v>PASS</v>
      </c>
      <c r="J364" s="7" t="str">
        <f t="shared" si="17"/>
        <v>Low Risk</v>
      </c>
      <c r="L364" s="7" t="str">
        <f>IF(J364="High Risk",COUNTIF($J$3:J364,"High Risk"),"")</f>
        <v/>
      </c>
      <c r="M364" s="7">
        <f>RANK(H364,$H$3:$H$1002,0)+COUNTIF($H$3:H364,H364)-1</f>
        <v>262</v>
      </c>
    </row>
    <row r="365" spans="1:13" x14ac:dyDescent="0.35">
      <c r="A365" s="7" t="s">
        <v>748</v>
      </c>
      <c r="B365" s="7" t="s">
        <v>749</v>
      </c>
      <c r="C365" s="8" t="s">
        <v>56</v>
      </c>
      <c r="D365" s="8" t="s">
        <v>57</v>
      </c>
      <c r="E365" s="8">
        <v>86.7</v>
      </c>
      <c r="F365" s="8">
        <v>9.6</v>
      </c>
      <c r="G365" s="8">
        <v>78</v>
      </c>
      <c r="H365" s="7">
        <f t="shared" si="15"/>
        <v>86</v>
      </c>
      <c r="I365" s="7" t="str">
        <f t="shared" si="16"/>
        <v>PASS</v>
      </c>
      <c r="J365" s="7" t="str">
        <f t="shared" si="17"/>
        <v>Low Risk</v>
      </c>
      <c r="L365" s="7" t="str">
        <f>IF(J365="High Risk",COUNTIF($J$3:J365,"High Risk"),"")</f>
        <v/>
      </c>
      <c r="M365" s="7">
        <f>RANK(H365,$H$3:$H$1002,0)+COUNTIF($H$3:H365,H365)-1</f>
        <v>156</v>
      </c>
    </row>
    <row r="366" spans="1:13" x14ac:dyDescent="0.35">
      <c r="A366" s="7" t="s">
        <v>750</v>
      </c>
      <c r="B366" s="7" t="s">
        <v>751</v>
      </c>
      <c r="C366" s="8" t="s">
        <v>62</v>
      </c>
      <c r="D366" s="8" t="s">
        <v>63</v>
      </c>
      <c r="E366" s="8">
        <v>71.5</v>
      </c>
      <c r="F366" s="8">
        <v>8.1999999999999993</v>
      </c>
      <c r="G366" s="8">
        <v>85</v>
      </c>
      <c r="H366" s="7">
        <f t="shared" si="15"/>
        <v>80.099999999999994</v>
      </c>
      <c r="I366" s="7" t="str">
        <f t="shared" si="16"/>
        <v>PASS</v>
      </c>
      <c r="J366" s="7" t="str">
        <f t="shared" si="17"/>
        <v>Low Risk</v>
      </c>
      <c r="L366" s="7" t="str">
        <f>IF(J366="High Risk",COUNTIF($J$3:J366,"High Risk"),"")</f>
        <v/>
      </c>
      <c r="M366" s="7">
        <f>RANK(H366,$H$3:$H$1002,0)+COUNTIF($H$3:H366,H366)-1</f>
        <v>244</v>
      </c>
    </row>
    <row r="367" spans="1:13" x14ac:dyDescent="0.35">
      <c r="A367" s="7" t="s">
        <v>752</v>
      </c>
      <c r="B367" s="7" t="s">
        <v>753</v>
      </c>
      <c r="C367" s="8" t="s">
        <v>56</v>
      </c>
      <c r="D367" s="8" t="s">
        <v>57</v>
      </c>
      <c r="E367" s="8">
        <v>73.900000000000006</v>
      </c>
      <c r="F367" s="8">
        <v>5.4</v>
      </c>
      <c r="G367" s="8">
        <v>72</v>
      </c>
      <c r="H367" s="7">
        <f t="shared" si="15"/>
        <v>67.2</v>
      </c>
      <c r="I367" s="7" t="str">
        <f t="shared" si="16"/>
        <v>PASS</v>
      </c>
      <c r="J367" s="7" t="str">
        <f t="shared" si="17"/>
        <v>Low Risk</v>
      </c>
      <c r="L367" s="7" t="str">
        <f>IF(J367="High Risk",COUNTIF($J$3:J367,"High Risk"),"")</f>
        <v/>
      </c>
      <c r="M367" s="7">
        <f>RANK(H367,$H$3:$H$1002,0)+COUNTIF($H$3:H367,H367)-1</f>
        <v>492</v>
      </c>
    </row>
    <row r="368" spans="1:13" x14ac:dyDescent="0.35">
      <c r="A368" s="7" t="s">
        <v>754</v>
      </c>
      <c r="B368" s="7" t="s">
        <v>755</v>
      </c>
      <c r="C368" s="8" t="s">
        <v>62</v>
      </c>
      <c r="D368" s="8" t="s">
        <v>63</v>
      </c>
      <c r="E368" s="8">
        <v>100</v>
      </c>
      <c r="F368" s="8">
        <v>12.7</v>
      </c>
      <c r="G368" s="8">
        <v>100</v>
      </c>
      <c r="H368" s="7">
        <f t="shared" si="15"/>
        <v>100</v>
      </c>
      <c r="I368" s="7" t="str">
        <f t="shared" si="16"/>
        <v>PASS</v>
      </c>
      <c r="J368" s="7" t="str">
        <f t="shared" si="17"/>
        <v>Low Risk</v>
      </c>
      <c r="L368" s="7" t="str">
        <f>IF(J368="High Risk",COUNTIF($J$3:J368,"High Risk"),"")</f>
        <v/>
      </c>
      <c r="M368" s="7">
        <f>RANK(H368,$H$3:$H$1002,0)+COUNTIF($H$3:H368,H368)-1</f>
        <v>6</v>
      </c>
    </row>
    <row r="369" spans="1:13" x14ac:dyDescent="0.35">
      <c r="A369" s="7" t="s">
        <v>756</v>
      </c>
      <c r="B369" s="7" t="s">
        <v>757</v>
      </c>
      <c r="C369" s="8" t="s">
        <v>56</v>
      </c>
      <c r="D369" s="8" t="s">
        <v>57</v>
      </c>
      <c r="E369" s="8">
        <v>73.3</v>
      </c>
      <c r="F369" s="8">
        <v>4.9000000000000004</v>
      </c>
      <c r="G369" s="8">
        <v>43</v>
      </c>
      <c r="H369" s="7">
        <f t="shared" si="15"/>
        <v>53.9</v>
      </c>
      <c r="I369" s="7" t="str">
        <f t="shared" si="16"/>
        <v>PASS</v>
      </c>
      <c r="J369" s="7" t="str">
        <f t="shared" si="17"/>
        <v>Medium Risk</v>
      </c>
      <c r="L369" s="7" t="str">
        <f>IF(J369="High Risk",COUNTIF($J$3:J369,"High Risk"),"")</f>
        <v/>
      </c>
      <c r="M369" s="7">
        <f>RANK(H369,$H$3:$H$1002,0)+COUNTIF($H$3:H369,H369)-1</f>
        <v>734</v>
      </c>
    </row>
    <row r="370" spans="1:13" x14ac:dyDescent="0.35">
      <c r="A370" s="7" t="s">
        <v>758</v>
      </c>
      <c r="B370" s="7" t="s">
        <v>759</v>
      </c>
      <c r="C370" s="8" t="s">
        <v>62</v>
      </c>
      <c r="D370" s="8" t="s">
        <v>57</v>
      </c>
      <c r="E370" s="8">
        <v>100</v>
      </c>
      <c r="F370" s="8">
        <v>7.9</v>
      </c>
      <c r="G370" s="8">
        <v>82</v>
      </c>
      <c r="H370" s="7">
        <f t="shared" si="15"/>
        <v>86.5</v>
      </c>
      <c r="I370" s="7" t="str">
        <f t="shared" si="16"/>
        <v>PASS</v>
      </c>
      <c r="J370" s="7" t="str">
        <f t="shared" si="17"/>
        <v>Low Risk</v>
      </c>
      <c r="L370" s="7" t="str">
        <f>IF(J370="High Risk",COUNTIF($J$3:J370,"High Risk"),"")</f>
        <v/>
      </c>
      <c r="M370" s="7">
        <f>RANK(H370,$H$3:$H$1002,0)+COUNTIF($H$3:H370,H370)-1</f>
        <v>147</v>
      </c>
    </row>
    <row r="371" spans="1:13" x14ac:dyDescent="0.35">
      <c r="A371" s="7" t="s">
        <v>760</v>
      </c>
      <c r="B371" s="7" t="s">
        <v>761</v>
      </c>
      <c r="C371" s="8" t="s">
        <v>62</v>
      </c>
      <c r="D371" s="8" t="s">
        <v>57</v>
      </c>
      <c r="E371" s="8">
        <v>77.2</v>
      </c>
      <c r="F371" s="8">
        <v>3.5</v>
      </c>
      <c r="G371" s="8">
        <v>61</v>
      </c>
      <c r="H371" s="7">
        <f t="shared" si="15"/>
        <v>58.1</v>
      </c>
      <c r="I371" s="7" t="str">
        <f t="shared" si="16"/>
        <v>PASS</v>
      </c>
      <c r="J371" s="7" t="str">
        <f t="shared" si="17"/>
        <v>Medium Risk</v>
      </c>
      <c r="L371" s="7" t="str">
        <f>IF(J371="High Risk",COUNTIF($J$3:J371,"High Risk"),"")</f>
        <v/>
      </c>
      <c r="M371" s="7">
        <f>RANK(H371,$H$3:$H$1002,0)+COUNTIF($H$3:H371,H371)-1</f>
        <v>658</v>
      </c>
    </row>
    <row r="372" spans="1:13" x14ac:dyDescent="0.35">
      <c r="A372" s="7" t="s">
        <v>762</v>
      </c>
      <c r="B372" s="7" t="s">
        <v>763</v>
      </c>
      <c r="C372" s="8" t="s">
        <v>62</v>
      </c>
      <c r="D372" s="8" t="s">
        <v>57</v>
      </c>
      <c r="E372" s="8">
        <v>79.2</v>
      </c>
      <c r="F372" s="8">
        <v>9.6</v>
      </c>
      <c r="G372" s="8">
        <v>92</v>
      </c>
      <c r="H372" s="7">
        <f t="shared" si="15"/>
        <v>89.4</v>
      </c>
      <c r="I372" s="7" t="str">
        <f t="shared" si="16"/>
        <v>PASS</v>
      </c>
      <c r="J372" s="7" t="str">
        <f t="shared" si="17"/>
        <v>Low Risk</v>
      </c>
      <c r="L372" s="7" t="str">
        <f>IF(J372="High Risk",COUNTIF($J$3:J372,"High Risk"),"")</f>
        <v/>
      </c>
      <c r="M372" s="7">
        <f>RANK(H372,$H$3:$H$1002,0)+COUNTIF($H$3:H372,H372)-1</f>
        <v>113</v>
      </c>
    </row>
    <row r="373" spans="1:13" x14ac:dyDescent="0.35">
      <c r="A373" s="7" t="s">
        <v>764</v>
      </c>
      <c r="B373" s="7" t="s">
        <v>663</v>
      </c>
      <c r="C373" s="8" t="s">
        <v>56</v>
      </c>
      <c r="D373" s="8" t="s">
        <v>75</v>
      </c>
      <c r="E373" s="8">
        <v>100</v>
      </c>
      <c r="F373" s="8">
        <v>13</v>
      </c>
      <c r="G373" s="8">
        <v>93</v>
      </c>
      <c r="H373" s="7">
        <f t="shared" si="15"/>
        <v>97.2</v>
      </c>
      <c r="I373" s="7" t="str">
        <f t="shared" si="16"/>
        <v>PASS</v>
      </c>
      <c r="J373" s="7" t="str">
        <f t="shared" si="17"/>
        <v>Low Risk</v>
      </c>
      <c r="L373" s="7" t="str">
        <f>IF(J373="High Risk",COUNTIF($J$3:J373,"High Risk"),"")</f>
        <v/>
      </c>
      <c r="M373" s="7">
        <f>RANK(H373,$H$3:$H$1002,0)+COUNTIF($H$3:H373,H373)-1</f>
        <v>34</v>
      </c>
    </row>
    <row r="374" spans="1:13" x14ac:dyDescent="0.35">
      <c r="A374" s="7" t="s">
        <v>765</v>
      </c>
      <c r="B374" s="7" t="s">
        <v>178</v>
      </c>
      <c r="C374" s="8" t="s">
        <v>56</v>
      </c>
      <c r="D374" s="8" t="s">
        <v>63</v>
      </c>
      <c r="E374" s="8">
        <v>100</v>
      </c>
      <c r="F374" s="8">
        <v>12.4</v>
      </c>
      <c r="G374" s="8">
        <v>94</v>
      </c>
      <c r="H374" s="7">
        <f t="shared" si="15"/>
        <v>97.6</v>
      </c>
      <c r="I374" s="7" t="str">
        <f t="shared" si="16"/>
        <v>PASS</v>
      </c>
      <c r="J374" s="7" t="str">
        <f t="shared" si="17"/>
        <v>Low Risk</v>
      </c>
      <c r="L374" s="7" t="str">
        <f>IF(J374="High Risk",COUNTIF($J$3:J374,"High Risk"),"")</f>
        <v/>
      </c>
      <c r="M374" s="7">
        <f>RANK(H374,$H$3:$H$1002,0)+COUNTIF($H$3:H374,H374)-1</f>
        <v>29</v>
      </c>
    </row>
    <row r="375" spans="1:13" x14ac:dyDescent="0.35">
      <c r="A375" s="7" t="s">
        <v>766</v>
      </c>
      <c r="B375" s="7" t="s">
        <v>767</v>
      </c>
      <c r="C375" s="8" t="s">
        <v>62</v>
      </c>
      <c r="D375" s="8" t="s">
        <v>68</v>
      </c>
      <c r="E375" s="8">
        <v>58.8</v>
      </c>
      <c r="F375" s="8">
        <v>2.6</v>
      </c>
      <c r="G375" s="8">
        <v>41</v>
      </c>
      <c r="H375" s="7">
        <f t="shared" si="15"/>
        <v>41.8</v>
      </c>
      <c r="I375" s="7" t="str">
        <f t="shared" si="16"/>
        <v>FAIL</v>
      </c>
      <c r="J375" s="7" t="str">
        <f t="shared" si="17"/>
        <v>High Risk</v>
      </c>
      <c r="L375" s="7">
        <f>IF(J375="High Risk",COUNTIF($J$3:J375,"High Risk"),"")</f>
        <v>71</v>
      </c>
      <c r="M375" s="7">
        <f>RANK(H375,$H$3:$H$1002,0)+COUNTIF($H$3:H375,H375)-1</f>
        <v>886</v>
      </c>
    </row>
    <row r="376" spans="1:13" x14ac:dyDescent="0.35">
      <c r="A376" s="7" t="s">
        <v>768</v>
      </c>
      <c r="B376" s="7" t="s">
        <v>769</v>
      </c>
      <c r="C376" s="8" t="s">
        <v>56</v>
      </c>
      <c r="D376" s="8" t="s">
        <v>57</v>
      </c>
      <c r="E376" s="8">
        <v>76.900000000000006</v>
      </c>
      <c r="F376" s="8">
        <v>8.9</v>
      </c>
      <c r="G376" s="8">
        <v>69</v>
      </c>
      <c r="H376" s="7">
        <f t="shared" si="15"/>
        <v>77.400000000000006</v>
      </c>
      <c r="I376" s="7" t="str">
        <f t="shared" si="16"/>
        <v>PASS</v>
      </c>
      <c r="J376" s="7" t="str">
        <f t="shared" si="17"/>
        <v>Low Risk</v>
      </c>
      <c r="L376" s="7" t="str">
        <f>IF(J376="High Risk",COUNTIF($J$3:J376,"High Risk"),"")</f>
        <v/>
      </c>
      <c r="M376" s="7">
        <f>RANK(H376,$H$3:$H$1002,0)+COUNTIF($H$3:H376,H376)-1</f>
        <v>284</v>
      </c>
    </row>
    <row r="377" spans="1:13" x14ac:dyDescent="0.35">
      <c r="A377" s="7" t="s">
        <v>770</v>
      </c>
      <c r="B377" s="7" t="s">
        <v>771</v>
      </c>
      <c r="C377" s="8" t="s">
        <v>62</v>
      </c>
      <c r="D377" s="8" t="s">
        <v>75</v>
      </c>
      <c r="E377" s="8">
        <v>61.2</v>
      </c>
      <c r="F377" s="8">
        <v>4.5999999999999996</v>
      </c>
      <c r="G377" s="8">
        <v>49</v>
      </c>
      <c r="H377" s="7">
        <f t="shared" si="15"/>
        <v>51.8</v>
      </c>
      <c r="I377" s="7" t="str">
        <f t="shared" si="16"/>
        <v>PASS</v>
      </c>
      <c r="J377" s="7" t="str">
        <f t="shared" si="17"/>
        <v>Medium Risk</v>
      </c>
      <c r="L377" s="7" t="str">
        <f>IF(J377="High Risk",COUNTIF($J$3:J377,"High Risk"),"")</f>
        <v/>
      </c>
      <c r="M377" s="7">
        <f>RANK(H377,$H$3:$H$1002,0)+COUNTIF($H$3:H377,H377)-1</f>
        <v>772</v>
      </c>
    </row>
    <row r="378" spans="1:13" x14ac:dyDescent="0.35">
      <c r="A378" s="7" t="s">
        <v>772</v>
      </c>
      <c r="B378" s="7" t="s">
        <v>773</v>
      </c>
      <c r="C378" s="8" t="s">
        <v>56</v>
      </c>
      <c r="D378" s="8" t="s">
        <v>75</v>
      </c>
      <c r="E378" s="8">
        <v>64.5</v>
      </c>
      <c r="F378" s="8">
        <v>5.0999999999999996</v>
      </c>
      <c r="G378" s="8">
        <v>47</v>
      </c>
      <c r="H378" s="7">
        <f t="shared" si="15"/>
        <v>53.5</v>
      </c>
      <c r="I378" s="7" t="str">
        <f t="shared" si="16"/>
        <v>PASS</v>
      </c>
      <c r="J378" s="7" t="str">
        <f t="shared" si="17"/>
        <v>Medium Risk</v>
      </c>
      <c r="L378" s="7" t="str">
        <f>IF(J378="High Risk",COUNTIF($J$3:J378,"High Risk"),"")</f>
        <v/>
      </c>
      <c r="M378" s="7">
        <f>RANK(H378,$H$3:$H$1002,0)+COUNTIF($H$3:H378,H378)-1</f>
        <v>747</v>
      </c>
    </row>
    <row r="379" spans="1:13" x14ac:dyDescent="0.35">
      <c r="A379" s="7" t="s">
        <v>774</v>
      </c>
      <c r="B379" s="7" t="s">
        <v>775</v>
      </c>
      <c r="C379" s="8" t="s">
        <v>62</v>
      </c>
      <c r="D379" s="8" t="s">
        <v>63</v>
      </c>
      <c r="E379" s="8">
        <v>53</v>
      </c>
      <c r="F379" s="8">
        <v>3.2</v>
      </c>
      <c r="G379" s="8">
        <v>59</v>
      </c>
      <c r="H379" s="7">
        <f t="shared" si="15"/>
        <v>49.1</v>
      </c>
      <c r="I379" s="7" t="str">
        <f t="shared" si="16"/>
        <v>FAIL</v>
      </c>
      <c r="J379" s="7" t="str">
        <f t="shared" si="17"/>
        <v>High Risk</v>
      </c>
      <c r="L379" s="7">
        <f>IF(J379="High Risk",COUNTIF($J$3:J379,"High Risk"),"")</f>
        <v>72</v>
      </c>
      <c r="M379" s="7">
        <f>RANK(H379,$H$3:$H$1002,0)+COUNTIF($H$3:H379,H379)-1</f>
        <v>813</v>
      </c>
    </row>
    <row r="380" spans="1:13" x14ac:dyDescent="0.35">
      <c r="A380" s="7" t="s">
        <v>776</v>
      </c>
      <c r="B380" s="7" t="s">
        <v>777</v>
      </c>
      <c r="C380" s="8" t="s">
        <v>56</v>
      </c>
      <c r="D380" s="8" t="s">
        <v>57</v>
      </c>
      <c r="E380" s="8">
        <v>63.4</v>
      </c>
      <c r="F380" s="8">
        <v>2.2999999999999998</v>
      </c>
      <c r="G380" s="8">
        <v>46</v>
      </c>
      <c r="H380" s="7">
        <f t="shared" si="15"/>
        <v>44.3</v>
      </c>
      <c r="I380" s="7" t="str">
        <f t="shared" si="16"/>
        <v>FAIL</v>
      </c>
      <c r="J380" s="7" t="str">
        <f t="shared" si="17"/>
        <v>High Risk</v>
      </c>
      <c r="L380" s="7">
        <f>IF(J380="High Risk",COUNTIF($J$3:J380,"High Risk"),"")</f>
        <v>73</v>
      </c>
      <c r="M380" s="7">
        <f>RANK(H380,$H$3:$H$1002,0)+COUNTIF($H$3:H380,H380)-1</f>
        <v>860</v>
      </c>
    </row>
    <row r="381" spans="1:13" x14ac:dyDescent="0.35">
      <c r="A381" s="7" t="s">
        <v>778</v>
      </c>
      <c r="B381" s="7" t="s">
        <v>779</v>
      </c>
      <c r="C381" s="8" t="s">
        <v>56</v>
      </c>
      <c r="D381" s="8" t="s">
        <v>63</v>
      </c>
      <c r="E381" s="8">
        <v>67.7</v>
      </c>
      <c r="F381" s="8">
        <v>7.6</v>
      </c>
      <c r="G381" s="8">
        <v>60</v>
      </c>
      <c r="H381" s="7">
        <f t="shared" si="15"/>
        <v>67.099999999999994</v>
      </c>
      <c r="I381" s="7" t="str">
        <f t="shared" si="16"/>
        <v>PASS</v>
      </c>
      <c r="J381" s="7" t="str">
        <f t="shared" si="17"/>
        <v>Low Risk</v>
      </c>
      <c r="L381" s="7" t="str">
        <f>IF(J381="High Risk",COUNTIF($J$3:J381,"High Risk"),"")</f>
        <v/>
      </c>
      <c r="M381" s="7">
        <f>RANK(H381,$H$3:$H$1002,0)+COUNTIF($H$3:H381,H381)-1</f>
        <v>495</v>
      </c>
    </row>
    <row r="382" spans="1:13" x14ac:dyDescent="0.35">
      <c r="A382" s="7" t="s">
        <v>780</v>
      </c>
      <c r="B382" s="7" t="s">
        <v>74</v>
      </c>
      <c r="C382" s="8" t="s">
        <v>62</v>
      </c>
      <c r="D382" s="8" t="s">
        <v>57</v>
      </c>
      <c r="E382" s="8">
        <v>71.099999999999994</v>
      </c>
      <c r="F382" s="8">
        <v>8.6999999999999993</v>
      </c>
      <c r="G382" s="8">
        <v>59</v>
      </c>
      <c r="H382" s="7">
        <f t="shared" si="15"/>
        <v>71</v>
      </c>
      <c r="I382" s="7" t="str">
        <f t="shared" si="16"/>
        <v>PASS</v>
      </c>
      <c r="J382" s="7" t="str">
        <f t="shared" si="17"/>
        <v>Low Risk</v>
      </c>
      <c r="L382" s="7" t="str">
        <f>IF(J382="High Risk",COUNTIF($J$3:J382,"High Risk"),"")</f>
        <v/>
      </c>
      <c r="M382" s="7">
        <f>RANK(H382,$H$3:$H$1002,0)+COUNTIF($H$3:H382,H382)-1</f>
        <v>411</v>
      </c>
    </row>
    <row r="383" spans="1:13" x14ac:dyDescent="0.35">
      <c r="A383" s="7" t="s">
        <v>781</v>
      </c>
      <c r="B383" s="7" t="s">
        <v>782</v>
      </c>
      <c r="C383" s="8" t="s">
        <v>56</v>
      </c>
      <c r="D383" s="8" t="s">
        <v>75</v>
      </c>
      <c r="E383" s="8">
        <v>62.5</v>
      </c>
      <c r="F383" s="8">
        <v>6.6</v>
      </c>
      <c r="G383" s="8">
        <v>52</v>
      </c>
      <c r="H383" s="7">
        <f t="shared" si="15"/>
        <v>59.4</v>
      </c>
      <c r="I383" s="7" t="str">
        <f t="shared" si="16"/>
        <v>PASS</v>
      </c>
      <c r="J383" s="7" t="str">
        <f t="shared" si="17"/>
        <v>Medium Risk</v>
      </c>
      <c r="L383" s="7" t="str">
        <f>IF(J383="High Risk",COUNTIF($J$3:J383,"High Risk"),"")</f>
        <v/>
      </c>
      <c r="M383" s="7">
        <f>RANK(H383,$H$3:$H$1002,0)+COUNTIF($H$3:H383,H383)-1</f>
        <v>635</v>
      </c>
    </row>
    <row r="384" spans="1:13" x14ac:dyDescent="0.35">
      <c r="A384" s="7" t="s">
        <v>783</v>
      </c>
      <c r="B384" s="7" t="s">
        <v>359</v>
      </c>
      <c r="C384" s="8" t="s">
        <v>62</v>
      </c>
      <c r="D384" s="8" t="s">
        <v>75</v>
      </c>
      <c r="E384" s="8">
        <v>55.6</v>
      </c>
      <c r="F384" s="8">
        <v>1.8</v>
      </c>
      <c r="G384" s="8">
        <v>50</v>
      </c>
      <c r="H384" s="7">
        <f t="shared" si="15"/>
        <v>42.1</v>
      </c>
      <c r="I384" s="7" t="str">
        <f t="shared" si="16"/>
        <v>FAIL</v>
      </c>
      <c r="J384" s="7" t="str">
        <f t="shared" si="17"/>
        <v>High Risk</v>
      </c>
      <c r="L384" s="7">
        <f>IF(J384="High Risk",COUNTIF($J$3:J384,"High Risk"),"")</f>
        <v>74</v>
      </c>
      <c r="M384" s="7">
        <f>RANK(H384,$H$3:$H$1002,0)+COUNTIF($H$3:H384,H384)-1</f>
        <v>884</v>
      </c>
    </row>
    <row r="385" spans="1:13" x14ac:dyDescent="0.35">
      <c r="A385" s="7" t="s">
        <v>784</v>
      </c>
      <c r="B385" s="7" t="s">
        <v>785</v>
      </c>
      <c r="C385" s="8" t="s">
        <v>56</v>
      </c>
      <c r="D385" s="8" t="s">
        <v>63</v>
      </c>
      <c r="E385" s="8">
        <v>100</v>
      </c>
      <c r="F385" s="8">
        <v>12.6</v>
      </c>
      <c r="G385" s="8">
        <v>84</v>
      </c>
      <c r="H385" s="7">
        <f t="shared" si="15"/>
        <v>93.6</v>
      </c>
      <c r="I385" s="7" t="str">
        <f t="shared" si="16"/>
        <v>PASS</v>
      </c>
      <c r="J385" s="7" t="str">
        <f t="shared" si="17"/>
        <v>Low Risk</v>
      </c>
      <c r="L385" s="7" t="str">
        <f>IF(J385="High Risk",COUNTIF($J$3:J385,"High Risk"),"")</f>
        <v/>
      </c>
      <c r="M385" s="7">
        <f>RANK(H385,$H$3:$H$1002,0)+COUNTIF($H$3:H385,H385)-1</f>
        <v>68</v>
      </c>
    </row>
    <row r="386" spans="1:13" x14ac:dyDescent="0.35">
      <c r="A386" s="7" t="s">
        <v>786</v>
      </c>
      <c r="B386" s="7" t="s">
        <v>550</v>
      </c>
      <c r="C386" s="8" t="s">
        <v>56</v>
      </c>
      <c r="D386" s="8" t="s">
        <v>75</v>
      </c>
      <c r="E386" s="8">
        <v>71.7</v>
      </c>
      <c r="F386" s="8">
        <v>8.1999999999999993</v>
      </c>
      <c r="G386" s="8">
        <v>53</v>
      </c>
      <c r="H386" s="7">
        <f t="shared" si="15"/>
        <v>67.3</v>
      </c>
      <c r="I386" s="7" t="str">
        <f t="shared" si="16"/>
        <v>PASS</v>
      </c>
      <c r="J386" s="7" t="str">
        <f t="shared" si="17"/>
        <v>Low Risk</v>
      </c>
      <c r="L386" s="7" t="str">
        <f>IF(J386="High Risk",COUNTIF($J$3:J386,"High Risk"),"")</f>
        <v/>
      </c>
      <c r="M386" s="7">
        <f>RANK(H386,$H$3:$H$1002,0)+COUNTIF($H$3:H386,H386)-1</f>
        <v>491</v>
      </c>
    </row>
    <row r="387" spans="1:13" x14ac:dyDescent="0.35">
      <c r="A387" s="7" t="s">
        <v>787</v>
      </c>
      <c r="B387" s="7" t="s">
        <v>788</v>
      </c>
      <c r="C387" s="8" t="s">
        <v>62</v>
      </c>
      <c r="D387" s="8" t="s">
        <v>57</v>
      </c>
      <c r="E387" s="8">
        <v>82.8</v>
      </c>
      <c r="F387" s="8">
        <v>9</v>
      </c>
      <c r="G387" s="8">
        <v>68</v>
      </c>
      <c r="H387" s="7">
        <f t="shared" ref="H387:H450" si="18">ROUND(0.4*G387+0.3*E387+0.3*MIN(F387/10,1)*100,1)</f>
        <v>79</v>
      </c>
      <c r="I387" s="7" t="str">
        <f t="shared" ref="I387:I450" si="19">IF(H387&gt;=50,"PASS","FAIL")</f>
        <v>PASS</v>
      </c>
      <c r="J387" s="7" t="str">
        <f t="shared" ref="J387:J450" si="20">IF(H387&lt;50,"High Risk",IF(H387&lt;65,"Medium Risk","Low Risk"))</f>
        <v>Low Risk</v>
      </c>
      <c r="L387" s="7" t="str">
        <f>IF(J387="High Risk",COUNTIF($J$3:J387,"High Risk"),"")</f>
        <v/>
      </c>
      <c r="M387" s="7">
        <f>RANK(H387,$H$3:$H$1002,0)+COUNTIF($H$3:H387,H387)-1</f>
        <v>263</v>
      </c>
    </row>
    <row r="388" spans="1:13" x14ac:dyDescent="0.35">
      <c r="A388" s="7" t="s">
        <v>789</v>
      </c>
      <c r="B388" s="7" t="s">
        <v>790</v>
      </c>
      <c r="C388" s="8" t="s">
        <v>56</v>
      </c>
      <c r="D388" s="8" t="s">
        <v>68</v>
      </c>
      <c r="E388" s="8">
        <v>99.7</v>
      </c>
      <c r="F388" s="8">
        <v>12.4</v>
      </c>
      <c r="G388" s="8">
        <v>75</v>
      </c>
      <c r="H388" s="7">
        <f t="shared" si="18"/>
        <v>89.9</v>
      </c>
      <c r="I388" s="7" t="str">
        <f t="shared" si="19"/>
        <v>PASS</v>
      </c>
      <c r="J388" s="7" t="str">
        <f t="shared" si="20"/>
        <v>Low Risk</v>
      </c>
      <c r="L388" s="7" t="str">
        <f>IF(J388="High Risk",COUNTIF($J$3:J388,"High Risk"),"")</f>
        <v/>
      </c>
      <c r="M388" s="7">
        <f>RANK(H388,$H$3:$H$1002,0)+COUNTIF($H$3:H388,H388)-1</f>
        <v>108</v>
      </c>
    </row>
    <row r="389" spans="1:13" x14ac:dyDescent="0.35">
      <c r="A389" s="7" t="s">
        <v>791</v>
      </c>
      <c r="B389" s="7" t="s">
        <v>792</v>
      </c>
      <c r="C389" s="8" t="s">
        <v>56</v>
      </c>
      <c r="D389" s="8" t="s">
        <v>68</v>
      </c>
      <c r="E389" s="8">
        <v>70.099999999999994</v>
      </c>
      <c r="F389" s="8">
        <v>8</v>
      </c>
      <c r="G389" s="8">
        <v>71</v>
      </c>
      <c r="H389" s="7">
        <f t="shared" si="18"/>
        <v>73.400000000000006</v>
      </c>
      <c r="I389" s="7" t="str">
        <f t="shared" si="19"/>
        <v>PASS</v>
      </c>
      <c r="J389" s="7" t="str">
        <f t="shared" si="20"/>
        <v>Low Risk</v>
      </c>
      <c r="L389" s="7" t="str">
        <f>IF(J389="High Risk",COUNTIF($J$3:J389,"High Risk"),"")</f>
        <v/>
      </c>
      <c r="M389" s="7">
        <f>RANK(H389,$H$3:$H$1002,0)+COUNTIF($H$3:H389,H389)-1</f>
        <v>352</v>
      </c>
    </row>
    <row r="390" spans="1:13" x14ac:dyDescent="0.35">
      <c r="A390" s="7" t="s">
        <v>793</v>
      </c>
      <c r="B390" s="7" t="s">
        <v>794</v>
      </c>
      <c r="C390" s="8" t="s">
        <v>62</v>
      </c>
      <c r="D390" s="8" t="s">
        <v>63</v>
      </c>
      <c r="E390" s="8">
        <v>78.599999999999994</v>
      </c>
      <c r="F390" s="8">
        <v>2.5</v>
      </c>
      <c r="G390" s="8">
        <v>60</v>
      </c>
      <c r="H390" s="7">
        <f t="shared" si="18"/>
        <v>55.1</v>
      </c>
      <c r="I390" s="7" t="str">
        <f t="shared" si="19"/>
        <v>PASS</v>
      </c>
      <c r="J390" s="7" t="str">
        <f t="shared" si="20"/>
        <v>Medium Risk</v>
      </c>
      <c r="L390" s="7" t="str">
        <f>IF(J390="High Risk",COUNTIF($J$3:J390,"High Risk"),"")</f>
        <v/>
      </c>
      <c r="M390" s="7">
        <f>RANK(H390,$H$3:$H$1002,0)+COUNTIF($H$3:H390,H390)-1</f>
        <v>713</v>
      </c>
    </row>
    <row r="391" spans="1:13" x14ac:dyDescent="0.35">
      <c r="A391" s="7" t="s">
        <v>795</v>
      </c>
      <c r="B391" s="7" t="s">
        <v>796</v>
      </c>
      <c r="C391" s="8" t="s">
        <v>62</v>
      </c>
      <c r="D391" s="8" t="s">
        <v>57</v>
      </c>
      <c r="E391" s="8">
        <v>87.6</v>
      </c>
      <c r="F391" s="8">
        <v>9.4</v>
      </c>
      <c r="G391" s="8">
        <v>86</v>
      </c>
      <c r="H391" s="7">
        <f t="shared" si="18"/>
        <v>88.9</v>
      </c>
      <c r="I391" s="7" t="str">
        <f t="shared" si="19"/>
        <v>PASS</v>
      </c>
      <c r="J391" s="7" t="str">
        <f t="shared" si="20"/>
        <v>Low Risk</v>
      </c>
      <c r="L391" s="7" t="str">
        <f>IF(J391="High Risk",COUNTIF($J$3:J391,"High Risk"),"")</f>
        <v/>
      </c>
      <c r="M391" s="7">
        <f>RANK(H391,$H$3:$H$1002,0)+COUNTIF($H$3:H391,H391)-1</f>
        <v>120</v>
      </c>
    </row>
    <row r="392" spans="1:13" x14ac:dyDescent="0.35">
      <c r="A392" s="7" t="s">
        <v>797</v>
      </c>
      <c r="B392" s="7" t="s">
        <v>798</v>
      </c>
      <c r="C392" s="8" t="s">
        <v>62</v>
      </c>
      <c r="D392" s="8" t="s">
        <v>63</v>
      </c>
      <c r="E392" s="8">
        <v>50.6</v>
      </c>
      <c r="F392" s="8">
        <v>5.0999999999999996</v>
      </c>
      <c r="G392" s="8">
        <v>50</v>
      </c>
      <c r="H392" s="7">
        <f t="shared" si="18"/>
        <v>50.5</v>
      </c>
      <c r="I392" s="7" t="str">
        <f t="shared" si="19"/>
        <v>PASS</v>
      </c>
      <c r="J392" s="7" t="str">
        <f t="shared" si="20"/>
        <v>Medium Risk</v>
      </c>
      <c r="L392" s="7" t="str">
        <f>IF(J392="High Risk",COUNTIF($J$3:J392,"High Risk"),"")</f>
        <v/>
      </c>
      <c r="M392" s="7">
        <f>RANK(H392,$H$3:$H$1002,0)+COUNTIF($H$3:H392,H392)-1</f>
        <v>794</v>
      </c>
    </row>
    <row r="393" spans="1:13" x14ac:dyDescent="0.35">
      <c r="A393" s="7" t="s">
        <v>799</v>
      </c>
      <c r="B393" s="7" t="s">
        <v>800</v>
      </c>
      <c r="C393" s="8" t="s">
        <v>62</v>
      </c>
      <c r="D393" s="8" t="s">
        <v>63</v>
      </c>
      <c r="E393" s="8">
        <v>95.6</v>
      </c>
      <c r="F393" s="8">
        <v>8.6</v>
      </c>
      <c r="G393" s="8">
        <v>88</v>
      </c>
      <c r="H393" s="7">
        <f t="shared" si="18"/>
        <v>89.7</v>
      </c>
      <c r="I393" s="7" t="str">
        <f t="shared" si="19"/>
        <v>PASS</v>
      </c>
      <c r="J393" s="7" t="str">
        <f t="shared" si="20"/>
        <v>Low Risk</v>
      </c>
      <c r="L393" s="7" t="str">
        <f>IF(J393="High Risk",COUNTIF($J$3:J393,"High Risk"),"")</f>
        <v/>
      </c>
      <c r="M393" s="7">
        <f>RANK(H393,$H$3:$H$1002,0)+COUNTIF($H$3:H393,H393)-1</f>
        <v>109</v>
      </c>
    </row>
    <row r="394" spans="1:13" x14ac:dyDescent="0.35">
      <c r="A394" s="7" t="s">
        <v>801</v>
      </c>
      <c r="B394" s="7" t="s">
        <v>802</v>
      </c>
      <c r="C394" s="8" t="s">
        <v>56</v>
      </c>
      <c r="D394" s="8" t="s">
        <v>57</v>
      </c>
      <c r="E394" s="8">
        <v>87.1</v>
      </c>
      <c r="F394" s="8">
        <v>8.8000000000000007</v>
      </c>
      <c r="G394" s="8">
        <v>70</v>
      </c>
      <c r="H394" s="7">
        <f t="shared" si="18"/>
        <v>80.5</v>
      </c>
      <c r="I394" s="7" t="str">
        <f t="shared" si="19"/>
        <v>PASS</v>
      </c>
      <c r="J394" s="7" t="str">
        <f t="shared" si="20"/>
        <v>Low Risk</v>
      </c>
      <c r="L394" s="7" t="str">
        <f>IF(J394="High Risk",COUNTIF($J$3:J394,"High Risk"),"")</f>
        <v/>
      </c>
      <c r="M394" s="7">
        <f>RANK(H394,$H$3:$H$1002,0)+COUNTIF($H$3:H394,H394)-1</f>
        <v>236</v>
      </c>
    </row>
    <row r="395" spans="1:13" x14ac:dyDescent="0.35">
      <c r="A395" s="7" t="s">
        <v>803</v>
      </c>
      <c r="B395" s="7" t="s">
        <v>804</v>
      </c>
      <c r="C395" s="8" t="s">
        <v>62</v>
      </c>
      <c r="D395" s="8" t="s">
        <v>57</v>
      </c>
      <c r="E395" s="8">
        <v>84</v>
      </c>
      <c r="F395" s="8">
        <v>7.4</v>
      </c>
      <c r="G395" s="8">
        <v>69</v>
      </c>
      <c r="H395" s="7">
        <f t="shared" si="18"/>
        <v>75</v>
      </c>
      <c r="I395" s="7" t="str">
        <f t="shared" si="19"/>
        <v>PASS</v>
      </c>
      <c r="J395" s="7" t="str">
        <f t="shared" si="20"/>
        <v>Low Risk</v>
      </c>
      <c r="L395" s="7" t="str">
        <f>IF(J395="High Risk",COUNTIF($J$3:J395,"High Risk"),"")</f>
        <v/>
      </c>
      <c r="M395" s="7">
        <f>RANK(H395,$H$3:$H$1002,0)+COUNTIF($H$3:H395,H395)-1</f>
        <v>322</v>
      </c>
    </row>
    <row r="396" spans="1:13" x14ac:dyDescent="0.35">
      <c r="A396" s="7" t="s">
        <v>805</v>
      </c>
      <c r="B396" s="7" t="s">
        <v>806</v>
      </c>
      <c r="C396" s="8" t="s">
        <v>56</v>
      </c>
      <c r="D396" s="8" t="s">
        <v>68</v>
      </c>
      <c r="E396" s="8">
        <v>82.2</v>
      </c>
      <c r="F396" s="8">
        <v>4.9000000000000004</v>
      </c>
      <c r="G396" s="8">
        <v>78</v>
      </c>
      <c r="H396" s="7">
        <f t="shared" si="18"/>
        <v>70.599999999999994</v>
      </c>
      <c r="I396" s="7" t="str">
        <f t="shared" si="19"/>
        <v>PASS</v>
      </c>
      <c r="J396" s="7" t="str">
        <f t="shared" si="20"/>
        <v>Low Risk</v>
      </c>
      <c r="L396" s="7" t="str">
        <f>IF(J396="High Risk",COUNTIF($J$3:J396,"High Risk"),"")</f>
        <v/>
      </c>
      <c r="M396" s="7">
        <f>RANK(H396,$H$3:$H$1002,0)+COUNTIF($H$3:H396,H396)-1</f>
        <v>418</v>
      </c>
    </row>
    <row r="397" spans="1:13" x14ac:dyDescent="0.35">
      <c r="A397" s="7" t="s">
        <v>807</v>
      </c>
      <c r="B397" s="7" t="s">
        <v>808</v>
      </c>
      <c r="C397" s="8" t="s">
        <v>62</v>
      </c>
      <c r="D397" s="8" t="s">
        <v>57</v>
      </c>
      <c r="E397" s="8">
        <v>86.4</v>
      </c>
      <c r="F397" s="8">
        <v>7.9</v>
      </c>
      <c r="G397" s="8">
        <v>65</v>
      </c>
      <c r="H397" s="7">
        <f t="shared" si="18"/>
        <v>75.599999999999994</v>
      </c>
      <c r="I397" s="7" t="str">
        <f t="shared" si="19"/>
        <v>PASS</v>
      </c>
      <c r="J397" s="7" t="str">
        <f t="shared" si="20"/>
        <v>Low Risk</v>
      </c>
      <c r="L397" s="7" t="str">
        <f>IF(J397="High Risk",COUNTIF($J$3:J397,"High Risk"),"")</f>
        <v/>
      </c>
      <c r="M397" s="7">
        <f>RANK(H397,$H$3:$H$1002,0)+COUNTIF($H$3:H397,H397)-1</f>
        <v>313</v>
      </c>
    </row>
    <row r="398" spans="1:13" x14ac:dyDescent="0.35">
      <c r="A398" s="7" t="s">
        <v>809</v>
      </c>
      <c r="B398" s="7" t="s">
        <v>810</v>
      </c>
      <c r="C398" s="8" t="s">
        <v>56</v>
      </c>
      <c r="D398" s="8" t="s">
        <v>75</v>
      </c>
      <c r="E398" s="8">
        <v>75.8</v>
      </c>
      <c r="F398" s="8">
        <v>3.6</v>
      </c>
      <c r="G398" s="8">
        <v>71</v>
      </c>
      <c r="H398" s="7">
        <f t="shared" si="18"/>
        <v>61.9</v>
      </c>
      <c r="I398" s="7" t="str">
        <f t="shared" si="19"/>
        <v>PASS</v>
      </c>
      <c r="J398" s="7" t="str">
        <f t="shared" si="20"/>
        <v>Medium Risk</v>
      </c>
      <c r="L398" s="7" t="str">
        <f>IF(J398="High Risk",COUNTIF($J$3:J398,"High Risk"),"")</f>
        <v/>
      </c>
      <c r="M398" s="7">
        <f>RANK(H398,$H$3:$H$1002,0)+COUNTIF($H$3:H398,H398)-1</f>
        <v>584</v>
      </c>
    </row>
    <row r="399" spans="1:13" x14ac:dyDescent="0.35">
      <c r="A399" s="7" t="s">
        <v>811</v>
      </c>
      <c r="B399" s="7" t="s">
        <v>464</v>
      </c>
      <c r="C399" s="8" t="s">
        <v>62</v>
      </c>
      <c r="D399" s="8" t="s">
        <v>57</v>
      </c>
      <c r="E399" s="8">
        <v>84.6</v>
      </c>
      <c r="F399" s="8">
        <v>5.8</v>
      </c>
      <c r="G399" s="8">
        <v>59</v>
      </c>
      <c r="H399" s="7">
        <f t="shared" si="18"/>
        <v>66.400000000000006</v>
      </c>
      <c r="I399" s="7" t="str">
        <f t="shared" si="19"/>
        <v>PASS</v>
      </c>
      <c r="J399" s="7" t="str">
        <f t="shared" si="20"/>
        <v>Low Risk</v>
      </c>
      <c r="L399" s="7" t="str">
        <f>IF(J399="High Risk",COUNTIF($J$3:J399,"High Risk"),"")</f>
        <v/>
      </c>
      <c r="M399" s="7">
        <f>RANK(H399,$H$3:$H$1002,0)+COUNTIF($H$3:H399,H399)-1</f>
        <v>503</v>
      </c>
    </row>
    <row r="400" spans="1:13" x14ac:dyDescent="0.35">
      <c r="A400" s="7" t="s">
        <v>812</v>
      </c>
      <c r="B400" s="7" t="s">
        <v>813</v>
      </c>
      <c r="C400" s="8" t="s">
        <v>56</v>
      </c>
      <c r="D400" s="8" t="s">
        <v>68</v>
      </c>
      <c r="E400" s="8">
        <v>99.2</v>
      </c>
      <c r="F400" s="8">
        <v>10.1</v>
      </c>
      <c r="G400" s="8">
        <v>78</v>
      </c>
      <c r="H400" s="7">
        <f t="shared" si="18"/>
        <v>91</v>
      </c>
      <c r="I400" s="7" t="str">
        <f t="shared" si="19"/>
        <v>PASS</v>
      </c>
      <c r="J400" s="7" t="str">
        <f t="shared" si="20"/>
        <v>Low Risk</v>
      </c>
      <c r="L400" s="7" t="str">
        <f>IF(J400="High Risk",COUNTIF($J$3:J400,"High Risk"),"")</f>
        <v/>
      </c>
      <c r="M400" s="7">
        <f>RANK(H400,$H$3:$H$1002,0)+COUNTIF($H$3:H400,H400)-1</f>
        <v>95</v>
      </c>
    </row>
    <row r="401" spans="1:13" x14ac:dyDescent="0.35">
      <c r="A401" s="7" t="s">
        <v>814</v>
      </c>
      <c r="B401" s="7" t="s">
        <v>815</v>
      </c>
      <c r="C401" s="8" t="s">
        <v>56</v>
      </c>
      <c r="D401" s="8" t="s">
        <v>57</v>
      </c>
      <c r="E401" s="8">
        <v>78.599999999999994</v>
      </c>
      <c r="F401" s="8">
        <v>5</v>
      </c>
      <c r="G401" s="8">
        <v>73</v>
      </c>
      <c r="H401" s="7">
        <f t="shared" si="18"/>
        <v>67.8</v>
      </c>
      <c r="I401" s="7" t="str">
        <f t="shared" si="19"/>
        <v>PASS</v>
      </c>
      <c r="J401" s="7" t="str">
        <f t="shared" si="20"/>
        <v>Low Risk</v>
      </c>
      <c r="L401" s="7" t="str">
        <f>IF(J401="High Risk",COUNTIF($J$3:J401,"High Risk"),"")</f>
        <v/>
      </c>
      <c r="M401" s="7">
        <f>RANK(H401,$H$3:$H$1002,0)+COUNTIF($H$3:H401,H401)-1</f>
        <v>476</v>
      </c>
    </row>
    <row r="402" spans="1:13" x14ac:dyDescent="0.35">
      <c r="A402" s="7" t="s">
        <v>816</v>
      </c>
      <c r="B402" s="7" t="s">
        <v>817</v>
      </c>
      <c r="C402" s="8" t="s">
        <v>56</v>
      </c>
      <c r="D402" s="8" t="s">
        <v>57</v>
      </c>
      <c r="E402" s="8">
        <v>73.2</v>
      </c>
      <c r="F402" s="8">
        <v>9.3000000000000007</v>
      </c>
      <c r="G402" s="8">
        <v>72</v>
      </c>
      <c r="H402" s="7">
        <f t="shared" si="18"/>
        <v>78.7</v>
      </c>
      <c r="I402" s="7" t="str">
        <f t="shared" si="19"/>
        <v>PASS</v>
      </c>
      <c r="J402" s="7" t="str">
        <f t="shared" si="20"/>
        <v>Low Risk</v>
      </c>
      <c r="L402" s="7" t="str">
        <f>IF(J402="High Risk",COUNTIF($J$3:J402,"High Risk"),"")</f>
        <v/>
      </c>
      <c r="M402" s="7">
        <f>RANK(H402,$H$3:$H$1002,0)+COUNTIF($H$3:H402,H402)-1</f>
        <v>267</v>
      </c>
    </row>
    <row r="403" spans="1:13" x14ac:dyDescent="0.35">
      <c r="A403" s="7" t="s">
        <v>818</v>
      </c>
      <c r="B403" s="7" t="s">
        <v>819</v>
      </c>
      <c r="C403" s="8" t="s">
        <v>56</v>
      </c>
      <c r="D403" s="8" t="s">
        <v>68</v>
      </c>
      <c r="E403" s="8">
        <v>68.400000000000006</v>
      </c>
      <c r="F403" s="8">
        <v>2.1</v>
      </c>
      <c r="G403" s="8">
        <v>43</v>
      </c>
      <c r="H403" s="7">
        <f t="shared" si="18"/>
        <v>44</v>
      </c>
      <c r="I403" s="7" t="str">
        <f t="shared" si="19"/>
        <v>FAIL</v>
      </c>
      <c r="J403" s="7" t="str">
        <f t="shared" si="20"/>
        <v>High Risk</v>
      </c>
      <c r="L403" s="7">
        <f>IF(J403="High Risk",COUNTIF($J$3:J403,"High Risk"),"")</f>
        <v>75</v>
      </c>
      <c r="M403" s="7">
        <f>RANK(H403,$H$3:$H$1002,0)+COUNTIF($H$3:H403,H403)-1</f>
        <v>862</v>
      </c>
    </row>
    <row r="404" spans="1:13" x14ac:dyDescent="0.35">
      <c r="A404" s="7" t="s">
        <v>820</v>
      </c>
      <c r="B404" s="7" t="s">
        <v>821</v>
      </c>
      <c r="C404" s="8" t="s">
        <v>62</v>
      </c>
      <c r="D404" s="8" t="s">
        <v>57</v>
      </c>
      <c r="E404" s="8">
        <v>84.9</v>
      </c>
      <c r="F404" s="8">
        <v>5.7</v>
      </c>
      <c r="G404" s="8">
        <v>65</v>
      </c>
      <c r="H404" s="7">
        <f t="shared" si="18"/>
        <v>68.599999999999994</v>
      </c>
      <c r="I404" s="7" t="str">
        <f t="shared" si="19"/>
        <v>PASS</v>
      </c>
      <c r="J404" s="7" t="str">
        <f t="shared" si="20"/>
        <v>Low Risk</v>
      </c>
      <c r="L404" s="7" t="str">
        <f>IF(J404="High Risk",COUNTIF($J$3:J404,"High Risk"),"")</f>
        <v/>
      </c>
      <c r="M404" s="7">
        <f>RANK(H404,$H$3:$H$1002,0)+COUNTIF($H$3:H404,H404)-1</f>
        <v>461</v>
      </c>
    </row>
    <row r="405" spans="1:13" x14ac:dyDescent="0.35">
      <c r="A405" s="7" t="s">
        <v>822</v>
      </c>
      <c r="B405" s="7" t="s">
        <v>823</v>
      </c>
      <c r="C405" s="8" t="s">
        <v>56</v>
      </c>
      <c r="D405" s="8" t="s">
        <v>68</v>
      </c>
      <c r="E405" s="8">
        <v>74.900000000000006</v>
      </c>
      <c r="F405" s="8">
        <v>4.5999999999999996</v>
      </c>
      <c r="G405" s="8">
        <v>64</v>
      </c>
      <c r="H405" s="7">
        <f t="shared" si="18"/>
        <v>61.9</v>
      </c>
      <c r="I405" s="7" t="str">
        <f t="shared" si="19"/>
        <v>PASS</v>
      </c>
      <c r="J405" s="7" t="str">
        <f t="shared" si="20"/>
        <v>Medium Risk</v>
      </c>
      <c r="L405" s="7" t="str">
        <f>IF(J405="High Risk",COUNTIF($J$3:J405,"High Risk"),"")</f>
        <v/>
      </c>
      <c r="M405" s="7">
        <f>RANK(H405,$H$3:$H$1002,0)+COUNTIF($H$3:H405,H405)-1</f>
        <v>585</v>
      </c>
    </row>
    <row r="406" spans="1:13" x14ac:dyDescent="0.35">
      <c r="A406" s="7" t="s">
        <v>824</v>
      </c>
      <c r="B406" s="7" t="s">
        <v>825</v>
      </c>
      <c r="C406" s="8" t="s">
        <v>62</v>
      </c>
      <c r="D406" s="8" t="s">
        <v>75</v>
      </c>
      <c r="E406" s="8">
        <v>99.6</v>
      </c>
      <c r="F406" s="8">
        <v>10.3</v>
      </c>
      <c r="G406" s="8">
        <v>92</v>
      </c>
      <c r="H406" s="7">
        <f t="shared" si="18"/>
        <v>96.7</v>
      </c>
      <c r="I406" s="7" t="str">
        <f t="shared" si="19"/>
        <v>PASS</v>
      </c>
      <c r="J406" s="7" t="str">
        <f t="shared" si="20"/>
        <v>Low Risk</v>
      </c>
      <c r="L406" s="7" t="str">
        <f>IF(J406="High Risk",COUNTIF($J$3:J406,"High Risk"),"")</f>
        <v/>
      </c>
      <c r="M406" s="7">
        <f>RANK(H406,$H$3:$H$1002,0)+COUNTIF($H$3:H406,H406)-1</f>
        <v>41</v>
      </c>
    </row>
    <row r="407" spans="1:13" x14ac:dyDescent="0.35">
      <c r="A407" s="7" t="s">
        <v>826</v>
      </c>
      <c r="B407" s="7" t="s">
        <v>827</v>
      </c>
      <c r="C407" s="8" t="s">
        <v>56</v>
      </c>
      <c r="D407" s="8" t="s">
        <v>75</v>
      </c>
      <c r="E407" s="8">
        <v>96.2</v>
      </c>
      <c r="F407" s="8">
        <v>6.1</v>
      </c>
      <c r="G407" s="8">
        <v>71</v>
      </c>
      <c r="H407" s="7">
        <f t="shared" si="18"/>
        <v>75.599999999999994</v>
      </c>
      <c r="I407" s="7" t="str">
        <f t="shared" si="19"/>
        <v>PASS</v>
      </c>
      <c r="J407" s="7" t="str">
        <f t="shared" si="20"/>
        <v>Low Risk</v>
      </c>
      <c r="L407" s="7" t="str">
        <f>IF(J407="High Risk",COUNTIF($J$3:J407,"High Risk"),"")</f>
        <v/>
      </c>
      <c r="M407" s="7">
        <f>RANK(H407,$H$3:$H$1002,0)+COUNTIF($H$3:H407,H407)-1</f>
        <v>314</v>
      </c>
    </row>
    <row r="408" spans="1:13" x14ac:dyDescent="0.35">
      <c r="A408" s="7" t="s">
        <v>828</v>
      </c>
      <c r="B408" s="7" t="s">
        <v>829</v>
      </c>
      <c r="C408" s="8" t="s">
        <v>62</v>
      </c>
      <c r="D408" s="8" t="s">
        <v>63</v>
      </c>
      <c r="E408" s="8">
        <v>88.7</v>
      </c>
      <c r="F408" s="8">
        <v>8.6999999999999993</v>
      </c>
      <c r="G408" s="8">
        <v>80</v>
      </c>
      <c r="H408" s="7">
        <f t="shared" si="18"/>
        <v>84.7</v>
      </c>
      <c r="I408" s="7" t="str">
        <f t="shared" si="19"/>
        <v>PASS</v>
      </c>
      <c r="J408" s="7" t="str">
        <f t="shared" si="20"/>
        <v>Low Risk</v>
      </c>
      <c r="L408" s="7" t="str">
        <f>IF(J408="High Risk",COUNTIF($J$3:J408,"High Risk"),"")</f>
        <v/>
      </c>
      <c r="M408" s="7">
        <f>RANK(H408,$H$3:$H$1002,0)+COUNTIF($H$3:H408,H408)-1</f>
        <v>172</v>
      </c>
    </row>
    <row r="409" spans="1:13" x14ac:dyDescent="0.35">
      <c r="A409" s="7" t="s">
        <v>830</v>
      </c>
      <c r="B409" s="7" t="s">
        <v>831</v>
      </c>
      <c r="C409" s="8" t="s">
        <v>56</v>
      </c>
      <c r="D409" s="8" t="s">
        <v>63</v>
      </c>
      <c r="E409" s="8">
        <v>90.6</v>
      </c>
      <c r="F409" s="8">
        <v>8</v>
      </c>
      <c r="G409" s="8">
        <v>72</v>
      </c>
      <c r="H409" s="7">
        <f t="shared" si="18"/>
        <v>80</v>
      </c>
      <c r="I409" s="7" t="str">
        <f t="shared" si="19"/>
        <v>PASS</v>
      </c>
      <c r="J409" s="7" t="str">
        <f t="shared" si="20"/>
        <v>Low Risk</v>
      </c>
      <c r="L409" s="7" t="str">
        <f>IF(J409="High Risk",COUNTIF($J$3:J409,"High Risk"),"")</f>
        <v/>
      </c>
      <c r="M409" s="7">
        <f>RANK(H409,$H$3:$H$1002,0)+COUNTIF($H$3:H409,H409)-1</f>
        <v>247</v>
      </c>
    </row>
    <row r="410" spans="1:13" x14ac:dyDescent="0.35">
      <c r="A410" s="7" t="s">
        <v>832</v>
      </c>
      <c r="B410" s="7" t="s">
        <v>833</v>
      </c>
      <c r="C410" s="8" t="s">
        <v>62</v>
      </c>
      <c r="D410" s="8" t="s">
        <v>63</v>
      </c>
      <c r="E410" s="8">
        <v>75.5</v>
      </c>
      <c r="F410" s="8">
        <v>7.5</v>
      </c>
      <c r="G410" s="8">
        <v>61</v>
      </c>
      <c r="H410" s="7">
        <f t="shared" si="18"/>
        <v>69.599999999999994</v>
      </c>
      <c r="I410" s="7" t="str">
        <f t="shared" si="19"/>
        <v>PASS</v>
      </c>
      <c r="J410" s="7" t="str">
        <f t="shared" si="20"/>
        <v>Low Risk</v>
      </c>
      <c r="L410" s="7" t="str">
        <f>IF(J410="High Risk",COUNTIF($J$3:J410,"High Risk"),"")</f>
        <v/>
      </c>
      <c r="M410" s="7">
        <f>RANK(H410,$H$3:$H$1002,0)+COUNTIF($H$3:H410,H410)-1</f>
        <v>438</v>
      </c>
    </row>
    <row r="411" spans="1:13" x14ac:dyDescent="0.35">
      <c r="A411" s="7" t="s">
        <v>834</v>
      </c>
      <c r="B411" s="7" t="s">
        <v>835</v>
      </c>
      <c r="C411" s="8" t="s">
        <v>56</v>
      </c>
      <c r="D411" s="8" t="s">
        <v>63</v>
      </c>
      <c r="E411" s="8">
        <v>100</v>
      </c>
      <c r="F411" s="8">
        <v>10.199999999999999</v>
      </c>
      <c r="G411" s="8">
        <v>100</v>
      </c>
      <c r="H411" s="7">
        <f t="shared" si="18"/>
        <v>100</v>
      </c>
      <c r="I411" s="7" t="str">
        <f t="shared" si="19"/>
        <v>PASS</v>
      </c>
      <c r="J411" s="7" t="str">
        <f t="shared" si="20"/>
        <v>Low Risk</v>
      </c>
      <c r="L411" s="7" t="str">
        <f>IF(J411="High Risk",COUNTIF($J$3:J411,"High Risk"),"")</f>
        <v/>
      </c>
      <c r="M411" s="7">
        <f>RANK(H411,$H$3:$H$1002,0)+COUNTIF($H$3:H411,H411)-1</f>
        <v>7</v>
      </c>
    </row>
    <row r="412" spans="1:13" x14ac:dyDescent="0.35">
      <c r="A412" s="7" t="s">
        <v>836</v>
      </c>
      <c r="B412" s="7" t="s">
        <v>837</v>
      </c>
      <c r="C412" s="8" t="s">
        <v>56</v>
      </c>
      <c r="D412" s="8" t="s">
        <v>57</v>
      </c>
      <c r="E412" s="8">
        <v>85.9</v>
      </c>
      <c r="F412" s="8">
        <v>6.9</v>
      </c>
      <c r="G412" s="8">
        <v>55</v>
      </c>
      <c r="H412" s="7">
        <f t="shared" si="18"/>
        <v>68.5</v>
      </c>
      <c r="I412" s="7" t="str">
        <f t="shared" si="19"/>
        <v>PASS</v>
      </c>
      <c r="J412" s="7" t="str">
        <f t="shared" si="20"/>
        <v>Low Risk</v>
      </c>
      <c r="L412" s="7" t="str">
        <f>IF(J412="High Risk",COUNTIF($J$3:J412,"High Risk"),"")</f>
        <v/>
      </c>
      <c r="M412" s="7">
        <f>RANK(H412,$H$3:$H$1002,0)+COUNTIF($H$3:H412,H412)-1</f>
        <v>464</v>
      </c>
    </row>
    <row r="413" spans="1:13" x14ac:dyDescent="0.35">
      <c r="A413" s="7" t="s">
        <v>838</v>
      </c>
      <c r="B413" s="7" t="s">
        <v>839</v>
      </c>
      <c r="C413" s="8" t="s">
        <v>56</v>
      </c>
      <c r="D413" s="8" t="s">
        <v>68</v>
      </c>
      <c r="E413" s="8">
        <v>60.3</v>
      </c>
      <c r="F413" s="8">
        <v>2.6</v>
      </c>
      <c r="G413" s="8">
        <v>38</v>
      </c>
      <c r="H413" s="7">
        <f t="shared" si="18"/>
        <v>41.1</v>
      </c>
      <c r="I413" s="7" t="str">
        <f t="shared" si="19"/>
        <v>FAIL</v>
      </c>
      <c r="J413" s="7" t="str">
        <f t="shared" si="20"/>
        <v>High Risk</v>
      </c>
      <c r="L413" s="7">
        <f>IF(J413="High Risk",COUNTIF($J$3:J413,"High Risk"),"")</f>
        <v>76</v>
      </c>
      <c r="M413" s="7">
        <f>RANK(H413,$H$3:$H$1002,0)+COUNTIF($H$3:H413,H413)-1</f>
        <v>891</v>
      </c>
    </row>
    <row r="414" spans="1:13" x14ac:dyDescent="0.35">
      <c r="A414" s="7" t="s">
        <v>840</v>
      </c>
      <c r="B414" s="7" t="s">
        <v>349</v>
      </c>
      <c r="C414" s="8" t="s">
        <v>56</v>
      </c>
      <c r="D414" s="8" t="s">
        <v>68</v>
      </c>
      <c r="E414" s="8">
        <v>47.5</v>
      </c>
      <c r="F414" s="8">
        <v>7</v>
      </c>
      <c r="G414" s="8">
        <v>56</v>
      </c>
      <c r="H414" s="7">
        <f t="shared" si="18"/>
        <v>57.7</v>
      </c>
      <c r="I414" s="7" t="str">
        <f t="shared" si="19"/>
        <v>PASS</v>
      </c>
      <c r="J414" s="7" t="str">
        <f t="shared" si="20"/>
        <v>Medium Risk</v>
      </c>
      <c r="L414" s="7" t="str">
        <f>IF(J414="High Risk",COUNTIF($J$3:J414,"High Risk"),"")</f>
        <v/>
      </c>
      <c r="M414" s="7">
        <f>RANK(H414,$H$3:$H$1002,0)+COUNTIF($H$3:H414,H414)-1</f>
        <v>667</v>
      </c>
    </row>
    <row r="415" spans="1:13" x14ac:dyDescent="0.35">
      <c r="A415" s="7" t="s">
        <v>841</v>
      </c>
      <c r="B415" s="7" t="s">
        <v>210</v>
      </c>
      <c r="C415" s="8" t="s">
        <v>56</v>
      </c>
      <c r="D415" s="8" t="s">
        <v>68</v>
      </c>
      <c r="E415" s="8">
        <v>70</v>
      </c>
      <c r="F415" s="8">
        <v>7.4</v>
      </c>
      <c r="G415" s="8">
        <v>79</v>
      </c>
      <c r="H415" s="7">
        <f t="shared" si="18"/>
        <v>74.8</v>
      </c>
      <c r="I415" s="7" t="str">
        <f t="shared" si="19"/>
        <v>PASS</v>
      </c>
      <c r="J415" s="7" t="str">
        <f t="shared" si="20"/>
        <v>Low Risk</v>
      </c>
      <c r="L415" s="7" t="str">
        <f>IF(J415="High Risk",COUNTIF($J$3:J415,"High Risk"),"")</f>
        <v/>
      </c>
      <c r="M415" s="7">
        <f>RANK(H415,$H$3:$H$1002,0)+COUNTIF($H$3:H415,H415)-1</f>
        <v>326</v>
      </c>
    </row>
    <row r="416" spans="1:13" x14ac:dyDescent="0.35">
      <c r="A416" s="7" t="s">
        <v>842</v>
      </c>
      <c r="B416" s="7" t="s">
        <v>843</v>
      </c>
      <c r="C416" s="8" t="s">
        <v>56</v>
      </c>
      <c r="D416" s="8" t="s">
        <v>57</v>
      </c>
      <c r="E416" s="8">
        <v>88.2</v>
      </c>
      <c r="F416" s="8">
        <v>10.6</v>
      </c>
      <c r="G416" s="8">
        <v>69</v>
      </c>
      <c r="H416" s="7">
        <f t="shared" si="18"/>
        <v>84.1</v>
      </c>
      <c r="I416" s="7" t="str">
        <f t="shared" si="19"/>
        <v>PASS</v>
      </c>
      <c r="J416" s="7" t="str">
        <f t="shared" si="20"/>
        <v>Low Risk</v>
      </c>
      <c r="L416" s="7" t="str">
        <f>IF(J416="High Risk",COUNTIF($J$3:J416,"High Risk"),"")</f>
        <v/>
      </c>
      <c r="M416" s="7">
        <f>RANK(H416,$H$3:$H$1002,0)+COUNTIF($H$3:H416,H416)-1</f>
        <v>183</v>
      </c>
    </row>
    <row r="417" spans="1:13" x14ac:dyDescent="0.35">
      <c r="A417" s="7" t="s">
        <v>844</v>
      </c>
      <c r="B417" s="7" t="s">
        <v>845</v>
      </c>
      <c r="C417" s="8" t="s">
        <v>56</v>
      </c>
      <c r="D417" s="8" t="s">
        <v>75</v>
      </c>
      <c r="E417" s="8">
        <v>99.8</v>
      </c>
      <c r="F417" s="8">
        <v>8.4</v>
      </c>
      <c r="G417" s="8">
        <v>75</v>
      </c>
      <c r="H417" s="7">
        <f t="shared" si="18"/>
        <v>85.1</v>
      </c>
      <c r="I417" s="7" t="str">
        <f t="shared" si="19"/>
        <v>PASS</v>
      </c>
      <c r="J417" s="7" t="str">
        <f t="shared" si="20"/>
        <v>Low Risk</v>
      </c>
      <c r="L417" s="7" t="str">
        <f>IF(J417="High Risk",COUNTIF($J$3:J417,"High Risk"),"")</f>
        <v/>
      </c>
      <c r="M417" s="7">
        <f>RANK(H417,$H$3:$H$1002,0)+COUNTIF($H$3:H417,H417)-1</f>
        <v>167</v>
      </c>
    </row>
    <row r="418" spans="1:13" x14ac:dyDescent="0.35">
      <c r="A418" s="7" t="s">
        <v>846</v>
      </c>
      <c r="B418" s="7" t="s">
        <v>847</v>
      </c>
      <c r="C418" s="8" t="s">
        <v>56</v>
      </c>
      <c r="D418" s="8" t="s">
        <v>68</v>
      </c>
      <c r="E418" s="8">
        <v>64.099999999999994</v>
      </c>
      <c r="F418" s="8">
        <v>9.6999999999999993</v>
      </c>
      <c r="G418" s="8">
        <v>56</v>
      </c>
      <c r="H418" s="7">
        <f t="shared" si="18"/>
        <v>70.7</v>
      </c>
      <c r="I418" s="7" t="str">
        <f t="shared" si="19"/>
        <v>PASS</v>
      </c>
      <c r="J418" s="7" t="str">
        <f t="shared" si="20"/>
        <v>Low Risk</v>
      </c>
      <c r="L418" s="7" t="str">
        <f>IF(J418="High Risk",COUNTIF($J$3:J418,"High Risk"),"")</f>
        <v/>
      </c>
      <c r="M418" s="7">
        <f>RANK(H418,$H$3:$H$1002,0)+COUNTIF($H$3:H418,H418)-1</f>
        <v>416</v>
      </c>
    </row>
    <row r="419" spans="1:13" x14ac:dyDescent="0.35">
      <c r="A419" s="7" t="s">
        <v>848</v>
      </c>
      <c r="B419" s="7" t="s">
        <v>849</v>
      </c>
      <c r="C419" s="8" t="s">
        <v>62</v>
      </c>
      <c r="D419" s="8" t="s">
        <v>75</v>
      </c>
      <c r="E419" s="8">
        <v>89.3</v>
      </c>
      <c r="F419" s="8">
        <v>8.4</v>
      </c>
      <c r="G419" s="8">
        <v>78</v>
      </c>
      <c r="H419" s="7">
        <f t="shared" si="18"/>
        <v>83.2</v>
      </c>
      <c r="I419" s="7" t="str">
        <f t="shared" si="19"/>
        <v>PASS</v>
      </c>
      <c r="J419" s="7" t="str">
        <f t="shared" si="20"/>
        <v>Low Risk</v>
      </c>
      <c r="L419" s="7" t="str">
        <f>IF(J419="High Risk",COUNTIF($J$3:J419,"High Risk"),"")</f>
        <v/>
      </c>
      <c r="M419" s="7">
        <f>RANK(H419,$H$3:$H$1002,0)+COUNTIF($H$3:H419,H419)-1</f>
        <v>192</v>
      </c>
    </row>
    <row r="420" spans="1:13" x14ac:dyDescent="0.35">
      <c r="A420" s="7" t="s">
        <v>850</v>
      </c>
      <c r="B420" s="7" t="s">
        <v>851</v>
      </c>
      <c r="C420" s="8" t="s">
        <v>62</v>
      </c>
      <c r="D420" s="8" t="s">
        <v>68</v>
      </c>
      <c r="E420" s="8">
        <v>65.5</v>
      </c>
      <c r="F420" s="8">
        <v>7.8</v>
      </c>
      <c r="G420" s="8">
        <v>57</v>
      </c>
      <c r="H420" s="7">
        <f t="shared" si="18"/>
        <v>65.900000000000006</v>
      </c>
      <c r="I420" s="7" t="str">
        <f t="shared" si="19"/>
        <v>PASS</v>
      </c>
      <c r="J420" s="7" t="str">
        <f t="shared" si="20"/>
        <v>Low Risk</v>
      </c>
      <c r="L420" s="7" t="str">
        <f>IF(J420="High Risk",COUNTIF($J$3:J420,"High Risk"),"")</f>
        <v/>
      </c>
      <c r="M420" s="7">
        <f>RANK(H420,$H$3:$H$1002,0)+COUNTIF($H$3:H420,H420)-1</f>
        <v>512</v>
      </c>
    </row>
    <row r="421" spans="1:13" x14ac:dyDescent="0.35">
      <c r="A421" s="7" t="s">
        <v>852</v>
      </c>
      <c r="B421" s="7" t="s">
        <v>853</v>
      </c>
      <c r="C421" s="8" t="s">
        <v>62</v>
      </c>
      <c r="D421" s="8" t="s">
        <v>63</v>
      </c>
      <c r="E421" s="8">
        <v>86.9</v>
      </c>
      <c r="F421" s="8">
        <v>6.6</v>
      </c>
      <c r="G421" s="8">
        <v>67</v>
      </c>
      <c r="H421" s="7">
        <f t="shared" si="18"/>
        <v>72.7</v>
      </c>
      <c r="I421" s="7" t="str">
        <f t="shared" si="19"/>
        <v>PASS</v>
      </c>
      <c r="J421" s="7" t="str">
        <f t="shared" si="20"/>
        <v>Low Risk</v>
      </c>
      <c r="L421" s="7" t="str">
        <f>IF(J421="High Risk",COUNTIF($J$3:J421,"High Risk"),"")</f>
        <v/>
      </c>
      <c r="M421" s="7">
        <f>RANK(H421,$H$3:$H$1002,0)+COUNTIF($H$3:H421,H421)-1</f>
        <v>368</v>
      </c>
    </row>
    <row r="422" spans="1:13" x14ac:dyDescent="0.35">
      <c r="A422" s="7" t="s">
        <v>854</v>
      </c>
      <c r="B422" s="7" t="s">
        <v>855</v>
      </c>
      <c r="C422" s="8" t="s">
        <v>56</v>
      </c>
      <c r="D422" s="8" t="s">
        <v>75</v>
      </c>
      <c r="E422" s="8">
        <v>100</v>
      </c>
      <c r="F422" s="8">
        <v>14.9</v>
      </c>
      <c r="G422" s="8">
        <v>100</v>
      </c>
      <c r="H422" s="7">
        <f t="shared" si="18"/>
        <v>100</v>
      </c>
      <c r="I422" s="7" t="str">
        <f t="shared" si="19"/>
        <v>PASS</v>
      </c>
      <c r="J422" s="7" t="str">
        <f t="shared" si="20"/>
        <v>Low Risk</v>
      </c>
      <c r="L422" s="7" t="str">
        <f>IF(J422="High Risk",COUNTIF($J$3:J422,"High Risk"),"")</f>
        <v/>
      </c>
      <c r="M422" s="7">
        <f>RANK(H422,$H$3:$H$1002,0)+COUNTIF($H$3:H422,H422)-1</f>
        <v>8</v>
      </c>
    </row>
    <row r="423" spans="1:13" x14ac:dyDescent="0.35">
      <c r="A423" s="7" t="s">
        <v>856</v>
      </c>
      <c r="B423" s="7" t="s">
        <v>556</v>
      </c>
      <c r="C423" s="8" t="s">
        <v>56</v>
      </c>
      <c r="D423" s="8" t="s">
        <v>57</v>
      </c>
      <c r="E423" s="8">
        <v>61.7</v>
      </c>
      <c r="F423" s="8">
        <v>5.2</v>
      </c>
      <c r="G423" s="8">
        <v>55</v>
      </c>
      <c r="H423" s="7">
        <f t="shared" si="18"/>
        <v>56.1</v>
      </c>
      <c r="I423" s="7" t="str">
        <f t="shared" si="19"/>
        <v>PASS</v>
      </c>
      <c r="J423" s="7" t="str">
        <f t="shared" si="20"/>
        <v>Medium Risk</v>
      </c>
      <c r="L423" s="7" t="str">
        <f>IF(J423="High Risk",COUNTIF($J$3:J423,"High Risk"),"")</f>
        <v/>
      </c>
      <c r="M423" s="7">
        <f>RANK(H423,$H$3:$H$1002,0)+COUNTIF($H$3:H423,H423)-1</f>
        <v>696</v>
      </c>
    </row>
    <row r="424" spans="1:13" x14ac:dyDescent="0.35">
      <c r="A424" s="7" t="s">
        <v>857</v>
      </c>
      <c r="B424" s="7" t="s">
        <v>687</v>
      </c>
      <c r="C424" s="8" t="s">
        <v>62</v>
      </c>
      <c r="D424" s="8" t="s">
        <v>68</v>
      </c>
      <c r="E424" s="8">
        <v>100</v>
      </c>
      <c r="F424" s="8">
        <v>6.9</v>
      </c>
      <c r="G424" s="8">
        <v>74</v>
      </c>
      <c r="H424" s="7">
        <f t="shared" si="18"/>
        <v>80.3</v>
      </c>
      <c r="I424" s="7" t="str">
        <f t="shared" si="19"/>
        <v>PASS</v>
      </c>
      <c r="J424" s="7" t="str">
        <f t="shared" si="20"/>
        <v>Low Risk</v>
      </c>
      <c r="L424" s="7" t="str">
        <f>IF(J424="High Risk",COUNTIF($J$3:J424,"High Risk"),"")</f>
        <v/>
      </c>
      <c r="M424" s="7">
        <f>RANK(H424,$H$3:$H$1002,0)+COUNTIF($H$3:H424,H424)-1</f>
        <v>241</v>
      </c>
    </row>
    <row r="425" spans="1:13" x14ac:dyDescent="0.35">
      <c r="A425" s="7" t="s">
        <v>858</v>
      </c>
      <c r="B425" s="7" t="s">
        <v>859</v>
      </c>
      <c r="C425" s="8" t="s">
        <v>62</v>
      </c>
      <c r="D425" s="8" t="s">
        <v>57</v>
      </c>
      <c r="E425" s="8">
        <v>63.2</v>
      </c>
      <c r="F425" s="8">
        <v>5.9</v>
      </c>
      <c r="G425" s="8">
        <v>49</v>
      </c>
      <c r="H425" s="7">
        <f t="shared" si="18"/>
        <v>56.3</v>
      </c>
      <c r="I425" s="7" t="str">
        <f t="shared" si="19"/>
        <v>PASS</v>
      </c>
      <c r="J425" s="7" t="str">
        <f t="shared" si="20"/>
        <v>Medium Risk</v>
      </c>
      <c r="L425" s="7" t="str">
        <f>IF(J425="High Risk",COUNTIF($J$3:J425,"High Risk"),"")</f>
        <v/>
      </c>
      <c r="M425" s="7">
        <f>RANK(H425,$H$3:$H$1002,0)+COUNTIF($H$3:H425,H425)-1</f>
        <v>694</v>
      </c>
    </row>
    <row r="426" spans="1:13" x14ac:dyDescent="0.35">
      <c r="A426" s="7" t="s">
        <v>860</v>
      </c>
      <c r="B426" s="7" t="s">
        <v>861</v>
      </c>
      <c r="C426" s="8" t="s">
        <v>56</v>
      </c>
      <c r="D426" s="8" t="s">
        <v>63</v>
      </c>
      <c r="E426" s="8">
        <v>100</v>
      </c>
      <c r="F426" s="8">
        <v>9.3000000000000007</v>
      </c>
      <c r="G426" s="8">
        <v>96</v>
      </c>
      <c r="H426" s="7">
        <f t="shared" si="18"/>
        <v>96.3</v>
      </c>
      <c r="I426" s="7" t="str">
        <f t="shared" si="19"/>
        <v>PASS</v>
      </c>
      <c r="J426" s="7" t="str">
        <f t="shared" si="20"/>
        <v>Low Risk</v>
      </c>
      <c r="L426" s="7" t="str">
        <f>IF(J426="High Risk",COUNTIF($J$3:J426,"High Risk"),"")</f>
        <v/>
      </c>
      <c r="M426" s="7">
        <f>RANK(H426,$H$3:$H$1002,0)+COUNTIF($H$3:H426,H426)-1</f>
        <v>44</v>
      </c>
    </row>
    <row r="427" spans="1:13" x14ac:dyDescent="0.35">
      <c r="A427" s="7" t="s">
        <v>862</v>
      </c>
      <c r="B427" s="7" t="s">
        <v>863</v>
      </c>
      <c r="C427" s="8" t="s">
        <v>62</v>
      </c>
      <c r="D427" s="8" t="s">
        <v>75</v>
      </c>
      <c r="E427" s="8">
        <v>80.5</v>
      </c>
      <c r="F427" s="8">
        <v>8</v>
      </c>
      <c r="G427" s="8">
        <v>75</v>
      </c>
      <c r="H427" s="7">
        <f t="shared" si="18"/>
        <v>78.2</v>
      </c>
      <c r="I427" s="7" t="str">
        <f t="shared" si="19"/>
        <v>PASS</v>
      </c>
      <c r="J427" s="7" t="str">
        <f t="shared" si="20"/>
        <v>Low Risk</v>
      </c>
      <c r="L427" s="7" t="str">
        <f>IF(J427="High Risk",COUNTIF($J$3:J427,"High Risk"),"")</f>
        <v/>
      </c>
      <c r="M427" s="7">
        <f>RANK(H427,$H$3:$H$1002,0)+COUNTIF($H$3:H427,H427)-1</f>
        <v>274</v>
      </c>
    </row>
    <row r="428" spans="1:13" x14ac:dyDescent="0.35">
      <c r="A428" s="7" t="s">
        <v>864</v>
      </c>
      <c r="B428" s="7" t="s">
        <v>865</v>
      </c>
      <c r="C428" s="8" t="s">
        <v>56</v>
      </c>
      <c r="D428" s="8" t="s">
        <v>57</v>
      </c>
      <c r="E428" s="8">
        <v>87.4</v>
      </c>
      <c r="F428" s="8">
        <v>9.1999999999999993</v>
      </c>
      <c r="G428" s="8">
        <v>80</v>
      </c>
      <c r="H428" s="7">
        <f t="shared" si="18"/>
        <v>85.8</v>
      </c>
      <c r="I428" s="7" t="str">
        <f t="shared" si="19"/>
        <v>PASS</v>
      </c>
      <c r="J428" s="7" t="str">
        <f t="shared" si="20"/>
        <v>Low Risk</v>
      </c>
      <c r="L428" s="7" t="str">
        <f>IF(J428="High Risk",COUNTIF($J$3:J428,"High Risk"),"")</f>
        <v/>
      </c>
      <c r="M428" s="7">
        <f>RANK(H428,$H$3:$H$1002,0)+COUNTIF($H$3:H428,H428)-1</f>
        <v>157</v>
      </c>
    </row>
    <row r="429" spans="1:13" x14ac:dyDescent="0.35">
      <c r="A429" s="7" t="s">
        <v>866</v>
      </c>
      <c r="B429" s="7" t="s">
        <v>867</v>
      </c>
      <c r="C429" s="8" t="s">
        <v>62</v>
      </c>
      <c r="D429" s="8" t="s">
        <v>57</v>
      </c>
      <c r="E429" s="8">
        <v>100</v>
      </c>
      <c r="F429" s="8">
        <v>9.6999999999999993</v>
      </c>
      <c r="G429" s="8">
        <v>100</v>
      </c>
      <c r="H429" s="7">
        <f t="shared" si="18"/>
        <v>99.1</v>
      </c>
      <c r="I429" s="7" t="str">
        <f t="shared" si="19"/>
        <v>PASS</v>
      </c>
      <c r="J429" s="7" t="str">
        <f t="shared" si="20"/>
        <v>Low Risk</v>
      </c>
      <c r="L429" s="7" t="str">
        <f>IF(J429="High Risk",COUNTIF($J$3:J429,"High Risk"),"")</f>
        <v/>
      </c>
      <c r="M429" s="7">
        <f>RANK(H429,$H$3:$H$1002,0)+COUNTIF($H$3:H429,H429)-1</f>
        <v>20</v>
      </c>
    </row>
    <row r="430" spans="1:13" x14ac:dyDescent="0.35">
      <c r="A430" s="7" t="s">
        <v>868</v>
      </c>
      <c r="B430" s="7" t="s">
        <v>869</v>
      </c>
      <c r="C430" s="8" t="s">
        <v>62</v>
      </c>
      <c r="D430" s="8" t="s">
        <v>75</v>
      </c>
      <c r="E430" s="8">
        <v>54.3</v>
      </c>
      <c r="F430" s="8">
        <v>3.5</v>
      </c>
      <c r="G430" s="8">
        <v>54</v>
      </c>
      <c r="H430" s="7">
        <f t="shared" si="18"/>
        <v>48.4</v>
      </c>
      <c r="I430" s="7" t="str">
        <f t="shared" si="19"/>
        <v>FAIL</v>
      </c>
      <c r="J430" s="7" t="str">
        <f t="shared" si="20"/>
        <v>High Risk</v>
      </c>
      <c r="L430" s="7">
        <f>IF(J430="High Risk",COUNTIF($J$3:J430,"High Risk"),"")</f>
        <v>77</v>
      </c>
      <c r="M430" s="7">
        <f>RANK(H430,$H$3:$H$1002,0)+COUNTIF($H$3:H430,H430)-1</f>
        <v>822</v>
      </c>
    </row>
    <row r="431" spans="1:13" x14ac:dyDescent="0.35">
      <c r="A431" s="7" t="s">
        <v>870</v>
      </c>
      <c r="B431" s="7" t="s">
        <v>548</v>
      </c>
      <c r="C431" s="8" t="s">
        <v>62</v>
      </c>
      <c r="D431" s="8" t="s">
        <v>75</v>
      </c>
      <c r="E431" s="8">
        <v>36.700000000000003</v>
      </c>
      <c r="F431" s="8">
        <v>0</v>
      </c>
      <c r="G431" s="8">
        <v>30</v>
      </c>
      <c r="H431" s="7">
        <f t="shared" si="18"/>
        <v>23</v>
      </c>
      <c r="I431" s="7" t="str">
        <f t="shared" si="19"/>
        <v>FAIL</v>
      </c>
      <c r="J431" s="7" t="str">
        <f t="shared" si="20"/>
        <v>High Risk</v>
      </c>
      <c r="L431" s="7">
        <f>IF(J431="High Risk",COUNTIF($J$3:J431,"High Risk"),"")</f>
        <v>78</v>
      </c>
      <c r="M431" s="7">
        <f>RANK(H431,$H$3:$H$1002,0)+COUNTIF($H$3:H431,H431)-1</f>
        <v>989</v>
      </c>
    </row>
    <row r="432" spans="1:13" x14ac:dyDescent="0.35">
      <c r="A432" s="7" t="s">
        <v>871</v>
      </c>
      <c r="B432" s="7" t="s">
        <v>872</v>
      </c>
      <c r="C432" s="8" t="s">
        <v>62</v>
      </c>
      <c r="D432" s="8" t="s">
        <v>57</v>
      </c>
      <c r="E432" s="8">
        <v>42.5</v>
      </c>
      <c r="F432" s="8">
        <v>2.7</v>
      </c>
      <c r="G432" s="8">
        <v>45</v>
      </c>
      <c r="H432" s="7">
        <f t="shared" si="18"/>
        <v>38.9</v>
      </c>
      <c r="I432" s="7" t="str">
        <f t="shared" si="19"/>
        <v>FAIL</v>
      </c>
      <c r="J432" s="7" t="str">
        <f t="shared" si="20"/>
        <v>High Risk</v>
      </c>
      <c r="L432" s="7">
        <f>IF(J432="High Risk",COUNTIF($J$3:J432,"High Risk"),"")</f>
        <v>79</v>
      </c>
      <c r="M432" s="7">
        <f>RANK(H432,$H$3:$H$1002,0)+COUNTIF($H$3:H432,H432)-1</f>
        <v>913</v>
      </c>
    </row>
    <row r="433" spans="1:13" x14ac:dyDescent="0.35">
      <c r="A433" s="7" t="s">
        <v>873</v>
      </c>
      <c r="B433" s="7" t="s">
        <v>874</v>
      </c>
      <c r="C433" s="8" t="s">
        <v>62</v>
      </c>
      <c r="D433" s="8" t="s">
        <v>68</v>
      </c>
      <c r="E433" s="8">
        <v>56.4</v>
      </c>
      <c r="F433" s="8">
        <v>5</v>
      </c>
      <c r="G433" s="8">
        <v>56</v>
      </c>
      <c r="H433" s="7">
        <f t="shared" si="18"/>
        <v>54.3</v>
      </c>
      <c r="I433" s="7" t="str">
        <f t="shared" si="19"/>
        <v>PASS</v>
      </c>
      <c r="J433" s="7" t="str">
        <f t="shared" si="20"/>
        <v>Medium Risk</v>
      </c>
      <c r="L433" s="7" t="str">
        <f>IF(J433="High Risk",COUNTIF($J$3:J433,"High Risk"),"")</f>
        <v/>
      </c>
      <c r="M433" s="7">
        <f>RANK(H433,$H$3:$H$1002,0)+COUNTIF($H$3:H433,H433)-1</f>
        <v>727</v>
      </c>
    </row>
    <row r="434" spans="1:13" x14ac:dyDescent="0.35">
      <c r="A434" s="7" t="s">
        <v>875</v>
      </c>
      <c r="B434" s="7" t="s">
        <v>876</v>
      </c>
      <c r="C434" s="8" t="s">
        <v>62</v>
      </c>
      <c r="D434" s="8" t="s">
        <v>68</v>
      </c>
      <c r="E434" s="8">
        <v>77.099999999999994</v>
      </c>
      <c r="F434" s="8">
        <v>2.5</v>
      </c>
      <c r="G434" s="8">
        <v>60</v>
      </c>
      <c r="H434" s="7">
        <f t="shared" si="18"/>
        <v>54.6</v>
      </c>
      <c r="I434" s="7" t="str">
        <f t="shared" si="19"/>
        <v>PASS</v>
      </c>
      <c r="J434" s="7" t="str">
        <f t="shared" si="20"/>
        <v>Medium Risk</v>
      </c>
      <c r="L434" s="7" t="str">
        <f>IF(J434="High Risk",COUNTIF($J$3:J434,"High Risk"),"")</f>
        <v/>
      </c>
      <c r="M434" s="7">
        <f>RANK(H434,$H$3:$H$1002,0)+COUNTIF($H$3:H434,H434)-1</f>
        <v>721</v>
      </c>
    </row>
    <row r="435" spans="1:13" x14ac:dyDescent="0.35">
      <c r="A435" s="7" t="s">
        <v>877</v>
      </c>
      <c r="B435" s="7" t="s">
        <v>878</v>
      </c>
      <c r="C435" s="8" t="s">
        <v>56</v>
      </c>
      <c r="D435" s="8" t="s">
        <v>75</v>
      </c>
      <c r="E435" s="8">
        <v>70.5</v>
      </c>
      <c r="F435" s="8">
        <v>4.5</v>
      </c>
      <c r="G435" s="8">
        <v>57</v>
      </c>
      <c r="H435" s="7">
        <f t="shared" si="18"/>
        <v>57.5</v>
      </c>
      <c r="I435" s="7" t="str">
        <f t="shared" si="19"/>
        <v>PASS</v>
      </c>
      <c r="J435" s="7" t="str">
        <f t="shared" si="20"/>
        <v>Medium Risk</v>
      </c>
      <c r="L435" s="7" t="str">
        <f>IF(J435="High Risk",COUNTIF($J$3:J435,"High Risk"),"")</f>
        <v/>
      </c>
      <c r="M435" s="7">
        <f>RANK(H435,$H$3:$H$1002,0)+COUNTIF($H$3:H435,H435)-1</f>
        <v>673</v>
      </c>
    </row>
    <row r="436" spans="1:13" x14ac:dyDescent="0.35">
      <c r="A436" s="7" t="s">
        <v>879</v>
      </c>
      <c r="B436" s="7" t="s">
        <v>188</v>
      </c>
      <c r="C436" s="8" t="s">
        <v>62</v>
      </c>
      <c r="D436" s="8" t="s">
        <v>57</v>
      </c>
      <c r="E436" s="8">
        <v>77.2</v>
      </c>
      <c r="F436" s="8">
        <v>5.9</v>
      </c>
      <c r="G436" s="8">
        <v>54</v>
      </c>
      <c r="H436" s="7">
        <f t="shared" si="18"/>
        <v>62.5</v>
      </c>
      <c r="I436" s="7" t="str">
        <f t="shared" si="19"/>
        <v>PASS</v>
      </c>
      <c r="J436" s="7" t="str">
        <f t="shared" si="20"/>
        <v>Medium Risk</v>
      </c>
      <c r="L436" s="7" t="str">
        <f>IF(J436="High Risk",COUNTIF($J$3:J436,"High Risk"),"")</f>
        <v/>
      </c>
      <c r="M436" s="7">
        <f>RANK(H436,$H$3:$H$1002,0)+COUNTIF($H$3:H436,H436)-1</f>
        <v>572</v>
      </c>
    </row>
    <row r="437" spans="1:13" x14ac:dyDescent="0.35">
      <c r="A437" s="7" t="s">
        <v>880</v>
      </c>
      <c r="B437" s="7" t="s">
        <v>881</v>
      </c>
      <c r="C437" s="8" t="s">
        <v>56</v>
      </c>
      <c r="D437" s="8" t="s">
        <v>68</v>
      </c>
      <c r="E437" s="8">
        <v>60.3</v>
      </c>
      <c r="F437" s="8">
        <v>2.5</v>
      </c>
      <c r="G437" s="8">
        <v>46</v>
      </c>
      <c r="H437" s="7">
        <f t="shared" si="18"/>
        <v>44</v>
      </c>
      <c r="I437" s="7" t="str">
        <f t="shared" si="19"/>
        <v>FAIL</v>
      </c>
      <c r="J437" s="7" t="str">
        <f t="shared" si="20"/>
        <v>High Risk</v>
      </c>
      <c r="L437" s="7">
        <f>IF(J437="High Risk",COUNTIF($J$3:J437,"High Risk"),"")</f>
        <v>80</v>
      </c>
      <c r="M437" s="7">
        <f>RANK(H437,$H$3:$H$1002,0)+COUNTIF($H$3:H437,H437)-1</f>
        <v>863</v>
      </c>
    </row>
    <row r="438" spans="1:13" x14ac:dyDescent="0.35">
      <c r="A438" s="7" t="s">
        <v>882</v>
      </c>
      <c r="B438" s="7" t="s">
        <v>883</v>
      </c>
      <c r="C438" s="8" t="s">
        <v>62</v>
      </c>
      <c r="D438" s="8" t="s">
        <v>75</v>
      </c>
      <c r="E438" s="8">
        <v>42.1</v>
      </c>
      <c r="F438" s="8">
        <v>0</v>
      </c>
      <c r="G438" s="8">
        <v>38</v>
      </c>
      <c r="H438" s="7">
        <f t="shared" si="18"/>
        <v>27.8</v>
      </c>
      <c r="I438" s="7" t="str">
        <f t="shared" si="19"/>
        <v>FAIL</v>
      </c>
      <c r="J438" s="7" t="str">
        <f t="shared" si="20"/>
        <v>High Risk</v>
      </c>
      <c r="L438" s="7">
        <f>IF(J438="High Risk",COUNTIF($J$3:J438,"High Risk"),"")</f>
        <v>81</v>
      </c>
      <c r="M438" s="7">
        <f>RANK(H438,$H$3:$H$1002,0)+COUNTIF($H$3:H438,H438)-1</f>
        <v>974</v>
      </c>
    </row>
    <row r="439" spans="1:13" x14ac:dyDescent="0.35">
      <c r="A439" s="7" t="s">
        <v>884</v>
      </c>
      <c r="B439" s="7" t="s">
        <v>885</v>
      </c>
      <c r="C439" s="8" t="s">
        <v>62</v>
      </c>
      <c r="D439" s="8" t="s">
        <v>75</v>
      </c>
      <c r="E439" s="8">
        <v>75.7</v>
      </c>
      <c r="F439" s="8">
        <v>4.4000000000000004</v>
      </c>
      <c r="G439" s="8">
        <v>64</v>
      </c>
      <c r="H439" s="7">
        <f t="shared" si="18"/>
        <v>61.5</v>
      </c>
      <c r="I439" s="7" t="str">
        <f t="shared" si="19"/>
        <v>PASS</v>
      </c>
      <c r="J439" s="7" t="str">
        <f t="shared" si="20"/>
        <v>Medium Risk</v>
      </c>
      <c r="L439" s="7" t="str">
        <f>IF(J439="High Risk",COUNTIF($J$3:J439,"High Risk"),"")</f>
        <v/>
      </c>
      <c r="M439" s="7">
        <f>RANK(H439,$H$3:$H$1002,0)+COUNTIF($H$3:H439,H439)-1</f>
        <v>595</v>
      </c>
    </row>
    <row r="440" spans="1:13" x14ac:dyDescent="0.35">
      <c r="A440" s="7" t="s">
        <v>886</v>
      </c>
      <c r="B440" s="7" t="s">
        <v>887</v>
      </c>
      <c r="C440" s="8" t="s">
        <v>56</v>
      </c>
      <c r="D440" s="8" t="s">
        <v>75</v>
      </c>
      <c r="E440" s="8">
        <v>82.1</v>
      </c>
      <c r="F440" s="8">
        <v>7.7</v>
      </c>
      <c r="G440" s="8">
        <v>78</v>
      </c>
      <c r="H440" s="7">
        <f t="shared" si="18"/>
        <v>78.900000000000006</v>
      </c>
      <c r="I440" s="7" t="str">
        <f t="shared" si="19"/>
        <v>PASS</v>
      </c>
      <c r="J440" s="7" t="str">
        <f t="shared" si="20"/>
        <v>Low Risk</v>
      </c>
      <c r="L440" s="7" t="str">
        <f>IF(J440="High Risk",COUNTIF($J$3:J440,"High Risk"),"")</f>
        <v/>
      </c>
      <c r="M440" s="7">
        <f>RANK(H440,$H$3:$H$1002,0)+COUNTIF($H$3:H440,H440)-1</f>
        <v>265</v>
      </c>
    </row>
    <row r="441" spans="1:13" x14ac:dyDescent="0.35">
      <c r="A441" s="7" t="s">
        <v>888</v>
      </c>
      <c r="B441" s="7" t="s">
        <v>889</v>
      </c>
      <c r="C441" s="8" t="s">
        <v>56</v>
      </c>
      <c r="D441" s="8" t="s">
        <v>68</v>
      </c>
      <c r="E441" s="8">
        <v>38.5</v>
      </c>
      <c r="F441" s="8">
        <v>0</v>
      </c>
      <c r="G441" s="8">
        <v>20</v>
      </c>
      <c r="H441" s="7">
        <f t="shared" si="18"/>
        <v>19.600000000000001</v>
      </c>
      <c r="I441" s="7" t="str">
        <f t="shared" si="19"/>
        <v>FAIL</v>
      </c>
      <c r="J441" s="7" t="str">
        <f t="shared" si="20"/>
        <v>High Risk</v>
      </c>
      <c r="L441" s="7">
        <f>IF(J441="High Risk",COUNTIF($J$3:J441,"High Risk"),"")</f>
        <v>82</v>
      </c>
      <c r="M441" s="7">
        <f>RANK(H441,$H$3:$H$1002,0)+COUNTIF($H$3:H441,H441)-1</f>
        <v>995</v>
      </c>
    </row>
    <row r="442" spans="1:13" x14ac:dyDescent="0.35">
      <c r="A442" s="7" t="s">
        <v>890</v>
      </c>
      <c r="B442" s="7" t="s">
        <v>891</v>
      </c>
      <c r="C442" s="8" t="s">
        <v>62</v>
      </c>
      <c r="D442" s="8" t="s">
        <v>63</v>
      </c>
      <c r="E442" s="8">
        <v>74.099999999999994</v>
      </c>
      <c r="F442" s="8">
        <v>4.2</v>
      </c>
      <c r="G442" s="8">
        <v>64</v>
      </c>
      <c r="H442" s="7">
        <f t="shared" si="18"/>
        <v>60.4</v>
      </c>
      <c r="I442" s="7" t="str">
        <f t="shared" si="19"/>
        <v>PASS</v>
      </c>
      <c r="J442" s="7" t="str">
        <f t="shared" si="20"/>
        <v>Medium Risk</v>
      </c>
      <c r="L442" s="7" t="str">
        <f>IF(J442="High Risk",COUNTIF($J$3:J442,"High Risk"),"")</f>
        <v/>
      </c>
      <c r="M442" s="7">
        <f>RANK(H442,$H$3:$H$1002,0)+COUNTIF($H$3:H442,H442)-1</f>
        <v>614</v>
      </c>
    </row>
    <row r="443" spans="1:13" x14ac:dyDescent="0.35">
      <c r="A443" s="7" t="s">
        <v>892</v>
      </c>
      <c r="B443" s="7" t="s">
        <v>893</v>
      </c>
      <c r="C443" s="8" t="s">
        <v>62</v>
      </c>
      <c r="D443" s="8" t="s">
        <v>68</v>
      </c>
      <c r="E443" s="8">
        <v>99.2</v>
      </c>
      <c r="F443" s="8">
        <v>7.2</v>
      </c>
      <c r="G443" s="8">
        <v>82</v>
      </c>
      <c r="H443" s="7">
        <f t="shared" si="18"/>
        <v>84.2</v>
      </c>
      <c r="I443" s="7" t="str">
        <f t="shared" si="19"/>
        <v>PASS</v>
      </c>
      <c r="J443" s="7" t="str">
        <f t="shared" si="20"/>
        <v>Low Risk</v>
      </c>
      <c r="L443" s="7" t="str">
        <f>IF(J443="High Risk",COUNTIF($J$3:J443,"High Risk"),"")</f>
        <v/>
      </c>
      <c r="M443" s="7">
        <f>RANK(H443,$H$3:$H$1002,0)+COUNTIF($H$3:H443,H443)-1</f>
        <v>178</v>
      </c>
    </row>
    <row r="444" spans="1:13" x14ac:dyDescent="0.35">
      <c r="A444" s="7" t="s">
        <v>894</v>
      </c>
      <c r="B444" s="7" t="s">
        <v>895</v>
      </c>
      <c r="C444" s="8" t="s">
        <v>56</v>
      </c>
      <c r="D444" s="8" t="s">
        <v>57</v>
      </c>
      <c r="E444" s="8">
        <v>46.4</v>
      </c>
      <c r="F444" s="8">
        <v>6.2</v>
      </c>
      <c r="G444" s="8">
        <v>38</v>
      </c>
      <c r="H444" s="7">
        <f t="shared" si="18"/>
        <v>47.7</v>
      </c>
      <c r="I444" s="7" t="str">
        <f t="shared" si="19"/>
        <v>FAIL</v>
      </c>
      <c r="J444" s="7" t="str">
        <f t="shared" si="20"/>
        <v>High Risk</v>
      </c>
      <c r="L444" s="7">
        <f>IF(J444="High Risk",COUNTIF($J$3:J444,"High Risk"),"")</f>
        <v>83</v>
      </c>
      <c r="M444" s="7">
        <f>RANK(H444,$H$3:$H$1002,0)+COUNTIF($H$3:H444,H444)-1</f>
        <v>828</v>
      </c>
    </row>
    <row r="445" spans="1:13" x14ac:dyDescent="0.35">
      <c r="A445" s="7" t="s">
        <v>896</v>
      </c>
      <c r="B445" s="7" t="s">
        <v>259</v>
      </c>
      <c r="C445" s="8" t="s">
        <v>56</v>
      </c>
      <c r="D445" s="8" t="s">
        <v>68</v>
      </c>
      <c r="E445" s="8">
        <v>86.2</v>
      </c>
      <c r="F445" s="8">
        <v>9.5</v>
      </c>
      <c r="G445" s="8">
        <v>98</v>
      </c>
      <c r="H445" s="7">
        <f t="shared" si="18"/>
        <v>93.6</v>
      </c>
      <c r="I445" s="7" t="str">
        <f t="shared" si="19"/>
        <v>PASS</v>
      </c>
      <c r="J445" s="7" t="str">
        <f t="shared" si="20"/>
        <v>Low Risk</v>
      </c>
      <c r="L445" s="7" t="str">
        <f>IF(J445="High Risk",COUNTIF($J$3:J445,"High Risk"),"")</f>
        <v/>
      </c>
      <c r="M445" s="7">
        <f>RANK(H445,$H$3:$H$1002,0)+COUNTIF($H$3:H445,H445)-1</f>
        <v>69</v>
      </c>
    </row>
    <row r="446" spans="1:13" x14ac:dyDescent="0.35">
      <c r="A446" s="7" t="s">
        <v>897</v>
      </c>
      <c r="B446" s="7" t="s">
        <v>898</v>
      </c>
      <c r="C446" s="8" t="s">
        <v>62</v>
      </c>
      <c r="D446" s="8" t="s">
        <v>57</v>
      </c>
      <c r="E446" s="8">
        <v>96.3</v>
      </c>
      <c r="F446" s="8">
        <v>7.9</v>
      </c>
      <c r="G446" s="8">
        <v>76</v>
      </c>
      <c r="H446" s="7">
        <f t="shared" si="18"/>
        <v>83</v>
      </c>
      <c r="I446" s="7" t="str">
        <f t="shared" si="19"/>
        <v>PASS</v>
      </c>
      <c r="J446" s="7" t="str">
        <f t="shared" si="20"/>
        <v>Low Risk</v>
      </c>
      <c r="L446" s="7" t="str">
        <f>IF(J446="High Risk",COUNTIF($J$3:J446,"High Risk"),"")</f>
        <v/>
      </c>
      <c r="M446" s="7">
        <f>RANK(H446,$H$3:$H$1002,0)+COUNTIF($H$3:H446,H446)-1</f>
        <v>196</v>
      </c>
    </row>
    <row r="447" spans="1:13" x14ac:dyDescent="0.35">
      <c r="A447" s="7" t="s">
        <v>899</v>
      </c>
      <c r="B447" s="7" t="s">
        <v>900</v>
      </c>
      <c r="C447" s="8" t="s">
        <v>62</v>
      </c>
      <c r="D447" s="8" t="s">
        <v>57</v>
      </c>
      <c r="E447" s="8">
        <v>64.3</v>
      </c>
      <c r="F447" s="8">
        <v>2.9</v>
      </c>
      <c r="G447" s="8">
        <v>58</v>
      </c>
      <c r="H447" s="7">
        <f t="shared" si="18"/>
        <v>51.2</v>
      </c>
      <c r="I447" s="7" t="str">
        <f t="shared" si="19"/>
        <v>PASS</v>
      </c>
      <c r="J447" s="7" t="str">
        <f t="shared" si="20"/>
        <v>Medium Risk</v>
      </c>
      <c r="L447" s="7" t="str">
        <f>IF(J447="High Risk",COUNTIF($J$3:J447,"High Risk"),"")</f>
        <v/>
      </c>
      <c r="M447" s="7">
        <f>RANK(H447,$H$3:$H$1002,0)+COUNTIF($H$3:H447,H447)-1</f>
        <v>782</v>
      </c>
    </row>
    <row r="448" spans="1:13" x14ac:dyDescent="0.35">
      <c r="A448" s="7" t="s">
        <v>901</v>
      </c>
      <c r="B448" s="7" t="s">
        <v>902</v>
      </c>
      <c r="C448" s="8" t="s">
        <v>62</v>
      </c>
      <c r="D448" s="8" t="s">
        <v>68</v>
      </c>
      <c r="E448" s="8">
        <v>79.900000000000006</v>
      </c>
      <c r="F448" s="8">
        <v>9.6999999999999993</v>
      </c>
      <c r="G448" s="8">
        <v>78</v>
      </c>
      <c r="H448" s="7">
        <f t="shared" si="18"/>
        <v>84.3</v>
      </c>
      <c r="I448" s="7" t="str">
        <f t="shared" si="19"/>
        <v>PASS</v>
      </c>
      <c r="J448" s="7" t="str">
        <f t="shared" si="20"/>
        <v>Low Risk</v>
      </c>
      <c r="L448" s="7" t="str">
        <f>IF(J448="High Risk",COUNTIF($J$3:J448,"High Risk"),"")</f>
        <v/>
      </c>
      <c r="M448" s="7">
        <f>RANK(H448,$H$3:$H$1002,0)+COUNTIF($H$3:H448,H448)-1</f>
        <v>176</v>
      </c>
    </row>
    <row r="449" spans="1:13" x14ac:dyDescent="0.35">
      <c r="A449" s="7" t="s">
        <v>903</v>
      </c>
      <c r="B449" s="7" t="s">
        <v>904</v>
      </c>
      <c r="C449" s="8" t="s">
        <v>62</v>
      </c>
      <c r="D449" s="8" t="s">
        <v>63</v>
      </c>
      <c r="E449" s="8">
        <v>76.2</v>
      </c>
      <c r="F449" s="8">
        <v>3.6</v>
      </c>
      <c r="G449" s="8">
        <v>53</v>
      </c>
      <c r="H449" s="7">
        <f t="shared" si="18"/>
        <v>54.9</v>
      </c>
      <c r="I449" s="7" t="str">
        <f t="shared" si="19"/>
        <v>PASS</v>
      </c>
      <c r="J449" s="7" t="str">
        <f t="shared" si="20"/>
        <v>Medium Risk</v>
      </c>
      <c r="L449" s="7" t="str">
        <f>IF(J449="High Risk",COUNTIF($J$3:J449,"High Risk"),"")</f>
        <v/>
      </c>
      <c r="M449" s="7">
        <f>RANK(H449,$H$3:$H$1002,0)+COUNTIF($H$3:H449,H449)-1</f>
        <v>714</v>
      </c>
    </row>
    <row r="450" spans="1:13" x14ac:dyDescent="0.35">
      <c r="A450" s="7" t="s">
        <v>905</v>
      </c>
      <c r="B450" s="7" t="s">
        <v>906</v>
      </c>
      <c r="C450" s="8" t="s">
        <v>62</v>
      </c>
      <c r="D450" s="8" t="s">
        <v>68</v>
      </c>
      <c r="E450" s="8">
        <v>60.1</v>
      </c>
      <c r="F450" s="8">
        <v>8</v>
      </c>
      <c r="G450" s="8">
        <v>54</v>
      </c>
      <c r="H450" s="7">
        <f t="shared" si="18"/>
        <v>63.6</v>
      </c>
      <c r="I450" s="7" t="str">
        <f t="shared" si="19"/>
        <v>PASS</v>
      </c>
      <c r="J450" s="7" t="str">
        <f t="shared" si="20"/>
        <v>Medium Risk</v>
      </c>
      <c r="L450" s="7" t="str">
        <f>IF(J450="High Risk",COUNTIF($J$3:J450,"High Risk"),"")</f>
        <v/>
      </c>
      <c r="M450" s="7">
        <f>RANK(H450,$H$3:$H$1002,0)+COUNTIF($H$3:H450,H450)-1</f>
        <v>557</v>
      </c>
    </row>
    <row r="451" spans="1:13" x14ac:dyDescent="0.35">
      <c r="A451" s="7" t="s">
        <v>907</v>
      </c>
      <c r="B451" s="7" t="s">
        <v>908</v>
      </c>
      <c r="C451" s="8" t="s">
        <v>56</v>
      </c>
      <c r="D451" s="8" t="s">
        <v>63</v>
      </c>
      <c r="E451" s="8">
        <v>61.5</v>
      </c>
      <c r="F451" s="8">
        <v>0.1</v>
      </c>
      <c r="G451" s="8">
        <v>42</v>
      </c>
      <c r="H451" s="7">
        <f t="shared" ref="H451:H514" si="21">ROUND(0.4*G451+0.3*E451+0.3*MIN(F451/10,1)*100,1)</f>
        <v>35.6</v>
      </c>
      <c r="I451" s="7" t="str">
        <f t="shared" ref="I451:I514" si="22">IF(H451&gt;=50,"PASS","FAIL")</f>
        <v>FAIL</v>
      </c>
      <c r="J451" s="7" t="str">
        <f t="shared" ref="J451:J514" si="23">IF(H451&lt;50,"High Risk",IF(H451&lt;65,"Medium Risk","Low Risk"))</f>
        <v>High Risk</v>
      </c>
      <c r="L451" s="7">
        <f>IF(J451="High Risk",COUNTIF($J$3:J451,"High Risk"),"")</f>
        <v>84</v>
      </c>
      <c r="M451" s="7">
        <f>RANK(H451,$H$3:$H$1002,0)+COUNTIF($H$3:H451,H451)-1</f>
        <v>941</v>
      </c>
    </row>
    <row r="452" spans="1:13" x14ac:dyDescent="0.35">
      <c r="A452" s="7" t="s">
        <v>909</v>
      </c>
      <c r="B452" s="7" t="s">
        <v>910</v>
      </c>
      <c r="C452" s="8" t="s">
        <v>56</v>
      </c>
      <c r="D452" s="8" t="s">
        <v>68</v>
      </c>
      <c r="E452" s="8">
        <v>75.7</v>
      </c>
      <c r="F452" s="8">
        <v>3.1</v>
      </c>
      <c r="G452" s="8">
        <v>75</v>
      </c>
      <c r="H452" s="7">
        <f t="shared" si="21"/>
        <v>62</v>
      </c>
      <c r="I452" s="7" t="str">
        <f t="shared" si="22"/>
        <v>PASS</v>
      </c>
      <c r="J452" s="7" t="str">
        <f t="shared" si="23"/>
        <v>Medium Risk</v>
      </c>
      <c r="L452" s="7" t="str">
        <f>IF(J452="High Risk",COUNTIF($J$3:J452,"High Risk"),"")</f>
        <v/>
      </c>
      <c r="M452" s="7">
        <f>RANK(H452,$H$3:$H$1002,0)+COUNTIF($H$3:H452,H452)-1</f>
        <v>582</v>
      </c>
    </row>
    <row r="453" spans="1:13" x14ac:dyDescent="0.35">
      <c r="A453" s="7" t="s">
        <v>911</v>
      </c>
      <c r="B453" s="7" t="s">
        <v>912</v>
      </c>
      <c r="C453" s="8" t="s">
        <v>56</v>
      </c>
      <c r="D453" s="8" t="s">
        <v>68</v>
      </c>
      <c r="E453" s="8">
        <v>53.3</v>
      </c>
      <c r="F453" s="8">
        <v>2.8</v>
      </c>
      <c r="G453" s="8">
        <v>45</v>
      </c>
      <c r="H453" s="7">
        <f t="shared" si="21"/>
        <v>42.4</v>
      </c>
      <c r="I453" s="7" t="str">
        <f t="shared" si="22"/>
        <v>FAIL</v>
      </c>
      <c r="J453" s="7" t="str">
        <f t="shared" si="23"/>
        <v>High Risk</v>
      </c>
      <c r="L453" s="7">
        <f>IF(J453="High Risk",COUNTIF($J$3:J453,"High Risk"),"")</f>
        <v>85</v>
      </c>
      <c r="M453" s="7">
        <f>RANK(H453,$H$3:$H$1002,0)+COUNTIF($H$3:H453,H453)-1</f>
        <v>880</v>
      </c>
    </row>
    <row r="454" spans="1:13" x14ac:dyDescent="0.35">
      <c r="A454" s="7" t="s">
        <v>913</v>
      </c>
      <c r="B454" s="7" t="s">
        <v>914</v>
      </c>
      <c r="C454" s="8" t="s">
        <v>62</v>
      </c>
      <c r="D454" s="8" t="s">
        <v>75</v>
      </c>
      <c r="E454" s="8">
        <v>89.3</v>
      </c>
      <c r="F454" s="8">
        <v>7.2</v>
      </c>
      <c r="G454" s="8">
        <v>79</v>
      </c>
      <c r="H454" s="7">
        <f t="shared" si="21"/>
        <v>80</v>
      </c>
      <c r="I454" s="7" t="str">
        <f t="shared" si="22"/>
        <v>PASS</v>
      </c>
      <c r="J454" s="7" t="str">
        <f t="shared" si="23"/>
        <v>Low Risk</v>
      </c>
      <c r="L454" s="7" t="str">
        <f>IF(J454="High Risk",COUNTIF($J$3:J454,"High Risk"),"")</f>
        <v/>
      </c>
      <c r="M454" s="7">
        <f>RANK(H454,$H$3:$H$1002,0)+COUNTIF($H$3:H454,H454)-1</f>
        <v>248</v>
      </c>
    </row>
    <row r="455" spans="1:13" x14ac:dyDescent="0.35">
      <c r="A455" s="7" t="s">
        <v>915</v>
      </c>
      <c r="B455" s="7" t="s">
        <v>916</v>
      </c>
      <c r="C455" s="8" t="s">
        <v>62</v>
      </c>
      <c r="D455" s="8" t="s">
        <v>63</v>
      </c>
      <c r="E455" s="8">
        <v>79.5</v>
      </c>
      <c r="F455" s="8">
        <v>6.7</v>
      </c>
      <c r="G455" s="8">
        <v>70</v>
      </c>
      <c r="H455" s="7">
        <f t="shared" si="21"/>
        <v>72</v>
      </c>
      <c r="I455" s="7" t="str">
        <f t="shared" si="22"/>
        <v>PASS</v>
      </c>
      <c r="J455" s="7" t="str">
        <f t="shared" si="23"/>
        <v>Low Risk</v>
      </c>
      <c r="L455" s="7" t="str">
        <f>IF(J455="High Risk",COUNTIF($J$3:J455,"High Risk"),"")</f>
        <v/>
      </c>
      <c r="M455" s="7">
        <f>RANK(H455,$H$3:$H$1002,0)+COUNTIF($H$3:H455,H455)-1</f>
        <v>382</v>
      </c>
    </row>
    <row r="456" spans="1:13" x14ac:dyDescent="0.35">
      <c r="A456" s="7" t="s">
        <v>917</v>
      </c>
      <c r="B456" s="7" t="s">
        <v>918</v>
      </c>
      <c r="C456" s="8" t="s">
        <v>56</v>
      </c>
      <c r="D456" s="8" t="s">
        <v>63</v>
      </c>
      <c r="E456" s="8">
        <v>64.099999999999994</v>
      </c>
      <c r="F456" s="8">
        <v>4.8</v>
      </c>
      <c r="G456" s="8">
        <v>61</v>
      </c>
      <c r="H456" s="7">
        <f t="shared" si="21"/>
        <v>58</v>
      </c>
      <c r="I456" s="7" t="str">
        <f t="shared" si="22"/>
        <v>PASS</v>
      </c>
      <c r="J456" s="7" t="str">
        <f t="shared" si="23"/>
        <v>Medium Risk</v>
      </c>
      <c r="L456" s="7" t="str">
        <f>IF(J456="High Risk",COUNTIF($J$3:J456,"High Risk"),"")</f>
        <v/>
      </c>
      <c r="M456" s="7">
        <f>RANK(H456,$H$3:$H$1002,0)+COUNTIF($H$3:H456,H456)-1</f>
        <v>660</v>
      </c>
    </row>
    <row r="457" spans="1:13" x14ac:dyDescent="0.35">
      <c r="A457" s="7" t="s">
        <v>919</v>
      </c>
      <c r="B457" s="7" t="s">
        <v>920</v>
      </c>
      <c r="C457" s="8" t="s">
        <v>56</v>
      </c>
      <c r="D457" s="8" t="s">
        <v>57</v>
      </c>
      <c r="E457" s="8">
        <v>100</v>
      </c>
      <c r="F457" s="8">
        <v>8.5</v>
      </c>
      <c r="G457" s="8">
        <v>87</v>
      </c>
      <c r="H457" s="7">
        <f t="shared" si="21"/>
        <v>90.3</v>
      </c>
      <c r="I457" s="7" t="str">
        <f t="shared" si="22"/>
        <v>PASS</v>
      </c>
      <c r="J457" s="7" t="str">
        <f t="shared" si="23"/>
        <v>Low Risk</v>
      </c>
      <c r="L457" s="7" t="str">
        <f>IF(J457="High Risk",COUNTIF($J$3:J457,"High Risk"),"")</f>
        <v/>
      </c>
      <c r="M457" s="7">
        <f>RANK(H457,$H$3:$H$1002,0)+COUNTIF($H$3:H457,H457)-1</f>
        <v>105</v>
      </c>
    </row>
    <row r="458" spans="1:13" x14ac:dyDescent="0.35">
      <c r="A458" s="7" t="s">
        <v>921</v>
      </c>
      <c r="B458" s="7" t="s">
        <v>922</v>
      </c>
      <c r="C458" s="8" t="s">
        <v>62</v>
      </c>
      <c r="D458" s="8" t="s">
        <v>63</v>
      </c>
      <c r="E458" s="8">
        <v>65.599999999999994</v>
      </c>
      <c r="F458" s="8">
        <v>3</v>
      </c>
      <c r="G458" s="8">
        <v>56</v>
      </c>
      <c r="H458" s="7">
        <f t="shared" si="21"/>
        <v>51.1</v>
      </c>
      <c r="I458" s="7" t="str">
        <f t="shared" si="22"/>
        <v>PASS</v>
      </c>
      <c r="J458" s="7" t="str">
        <f t="shared" si="23"/>
        <v>Medium Risk</v>
      </c>
      <c r="L458" s="7" t="str">
        <f>IF(J458="High Risk",COUNTIF($J$3:J458,"High Risk"),"")</f>
        <v/>
      </c>
      <c r="M458" s="7">
        <f>RANK(H458,$H$3:$H$1002,0)+COUNTIF($H$3:H458,H458)-1</f>
        <v>784</v>
      </c>
    </row>
    <row r="459" spans="1:13" x14ac:dyDescent="0.35">
      <c r="A459" s="7" t="s">
        <v>923</v>
      </c>
      <c r="B459" s="7" t="s">
        <v>924</v>
      </c>
      <c r="C459" s="8" t="s">
        <v>62</v>
      </c>
      <c r="D459" s="8" t="s">
        <v>75</v>
      </c>
      <c r="E459" s="8">
        <v>53.4</v>
      </c>
      <c r="F459" s="8">
        <v>10.6</v>
      </c>
      <c r="G459" s="8">
        <v>52</v>
      </c>
      <c r="H459" s="7">
        <f t="shared" si="21"/>
        <v>66.8</v>
      </c>
      <c r="I459" s="7" t="str">
        <f t="shared" si="22"/>
        <v>PASS</v>
      </c>
      <c r="J459" s="7" t="str">
        <f t="shared" si="23"/>
        <v>Low Risk</v>
      </c>
      <c r="L459" s="7" t="str">
        <f>IF(J459="High Risk",COUNTIF($J$3:J459,"High Risk"),"")</f>
        <v/>
      </c>
      <c r="M459" s="7">
        <f>RANK(H459,$H$3:$H$1002,0)+COUNTIF($H$3:H459,H459)-1</f>
        <v>498</v>
      </c>
    </row>
    <row r="460" spans="1:13" x14ac:dyDescent="0.35">
      <c r="A460" s="7" t="s">
        <v>925</v>
      </c>
      <c r="B460" s="7" t="s">
        <v>926</v>
      </c>
      <c r="C460" s="8" t="s">
        <v>62</v>
      </c>
      <c r="D460" s="8" t="s">
        <v>63</v>
      </c>
      <c r="E460" s="8">
        <v>82.3</v>
      </c>
      <c r="F460" s="8">
        <v>3.6</v>
      </c>
      <c r="G460" s="8">
        <v>61</v>
      </c>
      <c r="H460" s="7">
        <f t="shared" si="21"/>
        <v>59.9</v>
      </c>
      <c r="I460" s="7" t="str">
        <f t="shared" si="22"/>
        <v>PASS</v>
      </c>
      <c r="J460" s="7" t="str">
        <f t="shared" si="23"/>
        <v>Medium Risk</v>
      </c>
      <c r="L460" s="7" t="str">
        <f>IF(J460="High Risk",COUNTIF($J$3:J460,"High Risk"),"")</f>
        <v/>
      </c>
      <c r="M460" s="7">
        <f>RANK(H460,$H$3:$H$1002,0)+COUNTIF($H$3:H460,H460)-1</f>
        <v>625</v>
      </c>
    </row>
    <row r="461" spans="1:13" x14ac:dyDescent="0.35">
      <c r="A461" s="7" t="s">
        <v>927</v>
      </c>
      <c r="B461" s="7" t="s">
        <v>928</v>
      </c>
      <c r="C461" s="8" t="s">
        <v>62</v>
      </c>
      <c r="D461" s="8" t="s">
        <v>68</v>
      </c>
      <c r="E461" s="8">
        <v>85.9</v>
      </c>
      <c r="F461" s="8">
        <v>6.9</v>
      </c>
      <c r="G461" s="8">
        <v>60</v>
      </c>
      <c r="H461" s="7">
        <f t="shared" si="21"/>
        <v>70.5</v>
      </c>
      <c r="I461" s="7" t="str">
        <f t="shared" si="22"/>
        <v>PASS</v>
      </c>
      <c r="J461" s="7" t="str">
        <f t="shared" si="23"/>
        <v>Low Risk</v>
      </c>
      <c r="L461" s="7" t="str">
        <f>IF(J461="High Risk",COUNTIF($J$3:J461,"High Risk"),"")</f>
        <v/>
      </c>
      <c r="M461" s="7">
        <f>RANK(H461,$H$3:$H$1002,0)+COUNTIF($H$3:H461,H461)-1</f>
        <v>421</v>
      </c>
    </row>
    <row r="462" spans="1:13" x14ac:dyDescent="0.35">
      <c r="A462" s="7" t="s">
        <v>929</v>
      </c>
      <c r="B462" s="7" t="s">
        <v>930</v>
      </c>
      <c r="C462" s="8" t="s">
        <v>56</v>
      </c>
      <c r="D462" s="8" t="s">
        <v>57</v>
      </c>
      <c r="E462" s="8">
        <v>100</v>
      </c>
      <c r="F462" s="8">
        <v>11.3</v>
      </c>
      <c r="G462" s="8">
        <v>86</v>
      </c>
      <c r="H462" s="7">
        <f t="shared" si="21"/>
        <v>94.4</v>
      </c>
      <c r="I462" s="7" t="str">
        <f t="shared" si="22"/>
        <v>PASS</v>
      </c>
      <c r="J462" s="7" t="str">
        <f t="shared" si="23"/>
        <v>Low Risk</v>
      </c>
      <c r="L462" s="7" t="str">
        <f>IF(J462="High Risk",COUNTIF($J$3:J462,"High Risk"),"")</f>
        <v/>
      </c>
      <c r="M462" s="7">
        <f>RANK(H462,$H$3:$H$1002,0)+COUNTIF($H$3:H462,H462)-1</f>
        <v>63</v>
      </c>
    </row>
    <row r="463" spans="1:13" x14ac:dyDescent="0.35">
      <c r="A463" s="7" t="s">
        <v>931</v>
      </c>
      <c r="B463" s="7" t="s">
        <v>932</v>
      </c>
      <c r="C463" s="8" t="s">
        <v>62</v>
      </c>
      <c r="D463" s="8" t="s">
        <v>63</v>
      </c>
      <c r="E463" s="8">
        <v>30</v>
      </c>
      <c r="F463" s="8">
        <v>1</v>
      </c>
      <c r="G463" s="8">
        <v>43</v>
      </c>
      <c r="H463" s="7">
        <f t="shared" si="21"/>
        <v>29.2</v>
      </c>
      <c r="I463" s="7" t="str">
        <f t="shared" si="22"/>
        <v>FAIL</v>
      </c>
      <c r="J463" s="7" t="str">
        <f t="shared" si="23"/>
        <v>High Risk</v>
      </c>
      <c r="L463" s="7">
        <f>IF(J463="High Risk",COUNTIF($J$3:J463,"High Risk"),"")</f>
        <v>86</v>
      </c>
      <c r="M463" s="7">
        <f>RANK(H463,$H$3:$H$1002,0)+COUNTIF($H$3:H463,H463)-1</f>
        <v>968</v>
      </c>
    </row>
    <row r="464" spans="1:13" x14ac:dyDescent="0.35">
      <c r="A464" s="7" t="s">
        <v>933</v>
      </c>
      <c r="B464" s="7" t="s">
        <v>934</v>
      </c>
      <c r="C464" s="8" t="s">
        <v>62</v>
      </c>
      <c r="D464" s="8" t="s">
        <v>63</v>
      </c>
      <c r="E464" s="8">
        <v>100</v>
      </c>
      <c r="F464" s="8">
        <v>9</v>
      </c>
      <c r="G464" s="8">
        <v>100</v>
      </c>
      <c r="H464" s="7">
        <f t="shared" si="21"/>
        <v>97</v>
      </c>
      <c r="I464" s="7" t="str">
        <f t="shared" si="22"/>
        <v>PASS</v>
      </c>
      <c r="J464" s="7" t="str">
        <f t="shared" si="23"/>
        <v>Low Risk</v>
      </c>
      <c r="L464" s="7" t="str">
        <f>IF(J464="High Risk",COUNTIF($J$3:J464,"High Risk"),"")</f>
        <v/>
      </c>
      <c r="M464" s="7">
        <f>RANK(H464,$H$3:$H$1002,0)+COUNTIF($H$3:H464,H464)-1</f>
        <v>37</v>
      </c>
    </row>
    <row r="465" spans="1:13" x14ac:dyDescent="0.35">
      <c r="A465" s="7" t="s">
        <v>935</v>
      </c>
      <c r="B465" s="7" t="s">
        <v>936</v>
      </c>
      <c r="C465" s="8" t="s">
        <v>62</v>
      </c>
      <c r="D465" s="8" t="s">
        <v>75</v>
      </c>
      <c r="E465" s="8">
        <v>76.8</v>
      </c>
      <c r="F465" s="8">
        <v>4.3</v>
      </c>
      <c r="G465" s="8">
        <v>55</v>
      </c>
      <c r="H465" s="7">
        <f t="shared" si="21"/>
        <v>57.9</v>
      </c>
      <c r="I465" s="7" t="str">
        <f t="shared" si="22"/>
        <v>PASS</v>
      </c>
      <c r="J465" s="7" t="str">
        <f t="shared" si="23"/>
        <v>Medium Risk</v>
      </c>
      <c r="L465" s="7" t="str">
        <f>IF(J465="High Risk",COUNTIF($J$3:J465,"High Risk"),"")</f>
        <v/>
      </c>
      <c r="M465" s="7">
        <f>RANK(H465,$H$3:$H$1002,0)+COUNTIF($H$3:H465,H465)-1</f>
        <v>663</v>
      </c>
    </row>
    <row r="466" spans="1:13" x14ac:dyDescent="0.35">
      <c r="A466" s="7" t="s">
        <v>937</v>
      </c>
      <c r="B466" s="7" t="s">
        <v>938</v>
      </c>
      <c r="C466" s="8" t="s">
        <v>62</v>
      </c>
      <c r="D466" s="8" t="s">
        <v>57</v>
      </c>
      <c r="E466" s="8">
        <v>88</v>
      </c>
      <c r="F466" s="8">
        <v>5.8</v>
      </c>
      <c r="G466" s="8">
        <v>59</v>
      </c>
      <c r="H466" s="7">
        <f t="shared" si="21"/>
        <v>67.400000000000006</v>
      </c>
      <c r="I466" s="7" t="str">
        <f t="shared" si="22"/>
        <v>PASS</v>
      </c>
      <c r="J466" s="7" t="str">
        <f t="shared" si="23"/>
        <v>Low Risk</v>
      </c>
      <c r="L466" s="7" t="str">
        <f>IF(J466="High Risk",COUNTIF($J$3:J466,"High Risk"),"")</f>
        <v/>
      </c>
      <c r="M466" s="7">
        <f>RANK(H466,$H$3:$H$1002,0)+COUNTIF($H$3:H466,H466)-1</f>
        <v>488</v>
      </c>
    </row>
    <row r="467" spans="1:13" x14ac:dyDescent="0.35">
      <c r="A467" s="7" t="s">
        <v>939</v>
      </c>
      <c r="B467" s="7" t="s">
        <v>299</v>
      </c>
      <c r="C467" s="8" t="s">
        <v>62</v>
      </c>
      <c r="D467" s="8" t="s">
        <v>57</v>
      </c>
      <c r="E467" s="8">
        <v>96</v>
      </c>
      <c r="F467" s="8">
        <v>3.5</v>
      </c>
      <c r="G467" s="8">
        <v>77</v>
      </c>
      <c r="H467" s="7">
        <f t="shared" si="21"/>
        <v>70.099999999999994</v>
      </c>
      <c r="I467" s="7" t="str">
        <f t="shared" si="22"/>
        <v>PASS</v>
      </c>
      <c r="J467" s="7" t="str">
        <f t="shared" si="23"/>
        <v>Low Risk</v>
      </c>
      <c r="L467" s="7" t="str">
        <f>IF(J467="High Risk",COUNTIF($J$3:J467,"High Risk"),"")</f>
        <v/>
      </c>
      <c r="M467" s="7">
        <f>RANK(H467,$H$3:$H$1002,0)+COUNTIF($H$3:H467,H467)-1</f>
        <v>430</v>
      </c>
    </row>
    <row r="468" spans="1:13" x14ac:dyDescent="0.35">
      <c r="A468" s="7" t="s">
        <v>940</v>
      </c>
      <c r="B468" s="7" t="s">
        <v>941</v>
      </c>
      <c r="C468" s="8" t="s">
        <v>62</v>
      </c>
      <c r="D468" s="8" t="s">
        <v>75</v>
      </c>
      <c r="E468" s="8">
        <v>77.8</v>
      </c>
      <c r="F468" s="8">
        <v>9.3000000000000007</v>
      </c>
      <c r="G468" s="8">
        <v>68</v>
      </c>
      <c r="H468" s="7">
        <f t="shared" si="21"/>
        <v>78.400000000000006</v>
      </c>
      <c r="I468" s="7" t="str">
        <f t="shared" si="22"/>
        <v>PASS</v>
      </c>
      <c r="J468" s="7" t="str">
        <f t="shared" si="23"/>
        <v>Low Risk</v>
      </c>
      <c r="L468" s="7" t="str">
        <f>IF(J468="High Risk",COUNTIF($J$3:J468,"High Risk"),"")</f>
        <v/>
      </c>
      <c r="M468" s="7">
        <f>RANK(H468,$H$3:$H$1002,0)+COUNTIF($H$3:H468,H468)-1</f>
        <v>271</v>
      </c>
    </row>
    <row r="469" spans="1:13" x14ac:dyDescent="0.35">
      <c r="A469" s="7" t="s">
        <v>942</v>
      </c>
      <c r="B469" s="7" t="s">
        <v>943</v>
      </c>
      <c r="C469" s="8" t="s">
        <v>56</v>
      </c>
      <c r="D469" s="8" t="s">
        <v>57</v>
      </c>
      <c r="E469" s="8">
        <v>99.8</v>
      </c>
      <c r="F469" s="8">
        <v>6.9</v>
      </c>
      <c r="G469" s="8">
        <v>80</v>
      </c>
      <c r="H469" s="7">
        <f t="shared" si="21"/>
        <v>82.6</v>
      </c>
      <c r="I469" s="7" t="str">
        <f t="shared" si="22"/>
        <v>PASS</v>
      </c>
      <c r="J469" s="7" t="str">
        <f t="shared" si="23"/>
        <v>Low Risk</v>
      </c>
      <c r="L469" s="7" t="str">
        <f>IF(J469="High Risk",COUNTIF($J$3:J469,"High Risk"),"")</f>
        <v/>
      </c>
      <c r="M469" s="7">
        <f>RANK(H469,$H$3:$H$1002,0)+COUNTIF($H$3:H469,H469)-1</f>
        <v>206</v>
      </c>
    </row>
    <row r="470" spans="1:13" x14ac:dyDescent="0.35">
      <c r="A470" s="7" t="s">
        <v>944</v>
      </c>
      <c r="B470" s="7" t="s">
        <v>819</v>
      </c>
      <c r="C470" s="8" t="s">
        <v>56</v>
      </c>
      <c r="D470" s="8" t="s">
        <v>75</v>
      </c>
      <c r="E470" s="8">
        <v>100</v>
      </c>
      <c r="F470" s="8">
        <v>12.3</v>
      </c>
      <c r="G470" s="8">
        <v>96</v>
      </c>
      <c r="H470" s="7">
        <f t="shared" si="21"/>
        <v>98.4</v>
      </c>
      <c r="I470" s="7" t="str">
        <f t="shared" si="22"/>
        <v>PASS</v>
      </c>
      <c r="J470" s="7" t="str">
        <f t="shared" si="23"/>
        <v>Low Risk</v>
      </c>
      <c r="L470" s="7" t="str">
        <f>IF(J470="High Risk",COUNTIF($J$3:J470,"High Risk"),"")</f>
        <v/>
      </c>
      <c r="M470" s="7">
        <f>RANK(H470,$H$3:$H$1002,0)+COUNTIF($H$3:H470,H470)-1</f>
        <v>26</v>
      </c>
    </row>
    <row r="471" spans="1:13" x14ac:dyDescent="0.35">
      <c r="A471" s="7" t="s">
        <v>945</v>
      </c>
      <c r="B471" s="7" t="s">
        <v>946</v>
      </c>
      <c r="C471" s="8" t="s">
        <v>56</v>
      </c>
      <c r="D471" s="8" t="s">
        <v>75</v>
      </c>
      <c r="E471" s="8">
        <v>65</v>
      </c>
      <c r="F471" s="8">
        <v>4.8</v>
      </c>
      <c r="G471" s="8">
        <v>58</v>
      </c>
      <c r="H471" s="7">
        <f t="shared" si="21"/>
        <v>57.1</v>
      </c>
      <c r="I471" s="7" t="str">
        <f t="shared" si="22"/>
        <v>PASS</v>
      </c>
      <c r="J471" s="7" t="str">
        <f t="shared" si="23"/>
        <v>Medium Risk</v>
      </c>
      <c r="L471" s="7" t="str">
        <f>IF(J471="High Risk",COUNTIF($J$3:J471,"High Risk"),"")</f>
        <v/>
      </c>
      <c r="M471" s="7">
        <f>RANK(H471,$H$3:$H$1002,0)+COUNTIF($H$3:H471,H471)-1</f>
        <v>683</v>
      </c>
    </row>
    <row r="472" spans="1:13" x14ac:dyDescent="0.35">
      <c r="A472" s="7" t="s">
        <v>947</v>
      </c>
      <c r="B472" s="7" t="s">
        <v>948</v>
      </c>
      <c r="C472" s="8" t="s">
        <v>62</v>
      </c>
      <c r="D472" s="8" t="s">
        <v>63</v>
      </c>
      <c r="E472" s="8">
        <v>65</v>
      </c>
      <c r="F472" s="8">
        <v>5.4</v>
      </c>
      <c r="G472" s="8">
        <v>45</v>
      </c>
      <c r="H472" s="7">
        <f t="shared" si="21"/>
        <v>53.7</v>
      </c>
      <c r="I472" s="7" t="str">
        <f t="shared" si="22"/>
        <v>PASS</v>
      </c>
      <c r="J472" s="7" t="str">
        <f t="shared" si="23"/>
        <v>Medium Risk</v>
      </c>
      <c r="L472" s="7" t="str">
        <f>IF(J472="High Risk",COUNTIF($J$3:J472,"High Risk"),"")</f>
        <v/>
      </c>
      <c r="M472" s="7">
        <f>RANK(H472,$H$3:$H$1002,0)+COUNTIF($H$3:H472,H472)-1</f>
        <v>739</v>
      </c>
    </row>
    <row r="473" spans="1:13" x14ac:dyDescent="0.35">
      <c r="A473" s="7" t="s">
        <v>949</v>
      </c>
      <c r="B473" s="7" t="s">
        <v>950</v>
      </c>
      <c r="C473" s="8" t="s">
        <v>56</v>
      </c>
      <c r="D473" s="8" t="s">
        <v>63</v>
      </c>
      <c r="E473" s="8">
        <v>54.9</v>
      </c>
      <c r="F473" s="8">
        <v>0.3</v>
      </c>
      <c r="G473" s="8">
        <v>34</v>
      </c>
      <c r="H473" s="7">
        <f t="shared" si="21"/>
        <v>31</v>
      </c>
      <c r="I473" s="7" t="str">
        <f t="shared" si="22"/>
        <v>FAIL</v>
      </c>
      <c r="J473" s="7" t="str">
        <f t="shared" si="23"/>
        <v>High Risk</v>
      </c>
      <c r="L473" s="7">
        <f>IF(J473="High Risk",COUNTIF($J$3:J473,"High Risk"),"")</f>
        <v>87</v>
      </c>
      <c r="M473" s="7">
        <f>RANK(H473,$H$3:$H$1002,0)+COUNTIF($H$3:H473,H473)-1</f>
        <v>960</v>
      </c>
    </row>
    <row r="474" spans="1:13" x14ac:dyDescent="0.35">
      <c r="A474" s="7" t="s">
        <v>951</v>
      </c>
      <c r="B474" s="7" t="s">
        <v>952</v>
      </c>
      <c r="C474" s="8" t="s">
        <v>56</v>
      </c>
      <c r="D474" s="8" t="s">
        <v>68</v>
      </c>
      <c r="E474" s="8">
        <v>86.2</v>
      </c>
      <c r="F474" s="8">
        <v>8.9</v>
      </c>
      <c r="G474" s="8">
        <v>84</v>
      </c>
      <c r="H474" s="7">
        <f t="shared" si="21"/>
        <v>86.2</v>
      </c>
      <c r="I474" s="7" t="str">
        <f t="shared" si="22"/>
        <v>PASS</v>
      </c>
      <c r="J474" s="7" t="str">
        <f t="shared" si="23"/>
        <v>Low Risk</v>
      </c>
      <c r="L474" s="7" t="str">
        <f>IF(J474="High Risk",COUNTIF($J$3:J474,"High Risk"),"")</f>
        <v/>
      </c>
      <c r="M474" s="7">
        <f>RANK(H474,$H$3:$H$1002,0)+COUNTIF($H$3:H474,H474)-1</f>
        <v>152</v>
      </c>
    </row>
    <row r="475" spans="1:13" x14ac:dyDescent="0.35">
      <c r="A475" s="7" t="s">
        <v>953</v>
      </c>
      <c r="B475" s="7" t="s">
        <v>954</v>
      </c>
      <c r="C475" s="8" t="s">
        <v>56</v>
      </c>
      <c r="D475" s="8" t="s">
        <v>57</v>
      </c>
      <c r="E475" s="8">
        <v>63.3</v>
      </c>
      <c r="F475" s="8">
        <v>6.4</v>
      </c>
      <c r="G475" s="8">
        <v>65</v>
      </c>
      <c r="H475" s="7">
        <f t="shared" si="21"/>
        <v>64.2</v>
      </c>
      <c r="I475" s="7" t="str">
        <f t="shared" si="22"/>
        <v>PASS</v>
      </c>
      <c r="J475" s="7" t="str">
        <f t="shared" si="23"/>
        <v>Medium Risk</v>
      </c>
      <c r="L475" s="7" t="str">
        <f>IF(J475="High Risk",COUNTIF($J$3:J475,"High Risk"),"")</f>
        <v/>
      </c>
      <c r="M475" s="7">
        <f>RANK(H475,$H$3:$H$1002,0)+COUNTIF($H$3:H475,H475)-1</f>
        <v>543</v>
      </c>
    </row>
    <row r="476" spans="1:13" x14ac:dyDescent="0.35">
      <c r="A476" s="7" t="s">
        <v>955</v>
      </c>
      <c r="B476" s="7" t="s">
        <v>956</v>
      </c>
      <c r="C476" s="8" t="s">
        <v>62</v>
      </c>
      <c r="D476" s="8" t="s">
        <v>68</v>
      </c>
      <c r="E476" s="8">
        <v>77.599999999999994</v>
      </c>
      <c r="F476" s="8">
        <v>5</v>
      </c>
      <c r="G476" s="8">
        <v>52</v>
      </c>
      <c r="H476" s="7">
        <f t="shared" si="21"/>
        <v>59.1</v>
      </c>
      <c r="I476" s="7" t="str">
        <f t="shared" si="22"/>
        <v>PASS</v>
      </c>
      <c r="J476" s="7" t="str">
        <f t="shared" si="23"/>
        <v>Medium Risk</v>
      </c>
      <c r="L476" s="7" t="str">
        <f>IF(J476="High Risk",COUNTIF($J$3:J476,"High Risk"),"")</f>
        <v/>
      </c>
      <c r="M476" s="7">
        <f>RANK(H476,$H$3:$H$1002,0)+COUNTIF($H$3:H476,H476)-1</f>
        <v>639</v>
      </c>
    </row>
    <row r="477" spans="1:13" x14ac:dyDescent="0.35">
      <c r="A477" s="7" t="s">
        <v>957</v>
      </c>
      <c r="B477" s="7" t="s">
        <v>829</v>
      </c>
      <c r="C477" s="8" t="s">
        <v>62</v>
      </c>
      <c r="D477" s="8" t="s">
        <v>63</v>
      </c>
      <c r="E477" s="8">
        <v>100</v>
      </c>
      <c r="F477" s="8">
        <v>8.6</v>
      </c>
      <c r="G477" s="8">
        <v>99</v>
      </c>
      <c r="H477" s="7">
        <f t="shared" si="21"/>
        <v>95.4</v>
      </c>
      <c r="I477" s="7" t="str">
        <f t="shared" si="22"/>
        <v>PASS</v>
      </c>
      <c r="J477" s="7" t="str">
        <f t="shared" si="23"/>
        <v>Low Risk</v>
      </c>
      <c r="L477" s="7" t="str">
        <f>IF(J477="High Risk",COUNTIF($J$3:J477,"High Risk"),"")</f>
        <v/>
      </c>
      <c r="M477" s="7">
        <f>RANK(H477,$H$3:$H$1002,0)+COUNTIF($H$3:H477,H477)-1</f>
        <v>55</v>
      </c>
    </row>
    <row r="478" spans="1:13" x14ac:dyDescent="0.35">
      <c r="A478" s="7" t="s">
        <v>958</v>
      </c>
      <c r="B478" s="7" t="s">
        <v>959</v>
      </c>
      <c r="C478" s="8" t="s">
        <v>56</v>
      </c>
      <c r="D478" s="8" t="s">
        <v>68</v>
      </c>
      <c r="E478" s="8">
        <v>86.3</v>
      </c>
      <c r="F478" s="8">
        <v>9</v>
      </c>
      <c r="G478" s="8">
        <v>75</v>
      </c>
      <c r="H478" s="7">
        <f t="shared" si="21"/>
        <v>82.9</v>
      </c>
      <c r="I478" s="7" t="str">
        <f t="shared" si="22"/>
        <v>PASS</v>
      </c>
      <c r="J478" s="7" t="str">
        <f t="shared" si="23"/>
        <v>Low Risk</v>
      </c>
      <c r="L478" s="7" t="str">
        <f>IF(J478="High Risk",COUNTIF($J$3:J478,"High Risk"),"")</f>
        <v/>
      </c>
      <c r="M478" s="7">
        <f>RANK(H478,$H$3:$H$1002,0)+COUNTIF($H$3:H478,H478)-1</f>
        <v>200</v>
      </c>
    </row>
    <row r="479" spans="1:13" x14ac:dyDescent="0.35">
      <c r="A479" s="7" t="s">
        <v>960</v>
      </c>
      <c r="B479" s="7" t="s">
        <v>961</v>
      </c>
      <c r="C479" s="8" t="s">
        <v>56</v>
      </c>
      <c r="D479" s="8" t="s">
        <v>57</v>
      </c>
      <c r="E479" s="8">
        <v>69.099999999999994</v>
      </c>
      <c r="F479" s="8">
        <v>7.2</v>
      </c>
      <c r="G479" s="8">
        <v>54</v>
      </c>
      <c r="H479" s="7">
        <f t="shared" si="21"/>
        <v>63.9</v>
      </c>
      <c r="I479" s="7" t="str">
        <f t="shared" si="22"/>
        <v>PASS</v>
      </c>
      <c r="J479" s="7" t="str">
        <f t="shared" si="23"/>
        <v>Medium Risk</v>
      </c>
      <c r="L479" s="7" t="str">
        <f>IF(J479="High Risk",COUNTIF($J$3:J479,"High Risk"),"")</f>
        <v/>
      </c>
      <c r="M479" s="7">
        <f>RANK(H479,$H$3:$H$1002,0)+COUNTIF($H$3:H479,H479)-1</f>
        <v>549</v>
      </c>
    </row>
    <row r="480" spans="1:13" x14ac:dyDescent="0.35">
      <c r="A480" s="7" t="s">
        <v>962</v>
      </c>
      <c r="B480" s="7" t="s">
        <v>518</v>
      </c>
      <c r="C480" s="8" t="s">
        <v>62</v>
      </c>
      <c r="D480" s="8" t="s">
        <v>63</v>
      </c>
      <c r="E480" s="8">
        <v>69.7</v>
      </c>
      <c r="F480" s="8">
        <v>8</v>
      </c>
      <c r="G480" s="8">
        <v>69</v>
      </c>
      <c r="H480" s="7">
        <f t="shared" si="21"/>
        <v>72.5</v>
      </c>
      <c r="I480" s="7" t="str">
        <f t="shared" si="22"/>
        <v>PASS</v>
      </c>
      <c r="J480" s="7" t="str">
        <f t="shared" si="23"/>
        <v>Low Risk</v>
      </c>
      <c r="L480" s="7" t="str">
        <f>IF(J480="High Risk",COUNTIF($J$3:J480,"High Risk"),"")</f>
        <v/>
      </c>
      <c r="M480" s="7">
        <f>RANK(H480,$H$3:$H$1002,0)+COUNTIF($H$3:H480,H480)-1</f>
        <v>371</v>
      </c>
    </row>
    <row r="481" spans="1:13" x14ac:dyDescent="0.35">
      <c r="A481" s="7" t="s">
        <v>963</v>
      </c>
      <c r="B481" s="7" t="s">
        <v>964</v>
      </c>
      <c r="C481" s="8" t="s">
        <v>56</v>
      </c>
      <c r="D481" s="8" t="s">
        <v>75</v>
      </c>
      <c r="E481" s="8">
        <v>68.099999999999994</v>
      </c>
      <c r="F481" s="8">
        <v>2.7</v>
      </c>
      <c r="G481" s="8">
        <v>52</v>
      </c>
      <c r="H481" s="7">
        <f t="shared" si="21"/>
        <v>49.3</v>
      </c>
      <c r="I481" s="7" t="str">
        <f t="shared" si="22"/>
        <v>FAIL</v>
      </c>
      <c r="J481" s="7" t="str">
        <f t="shared" si="23"/>
        <v>High Risk</v>
      </c>
      <c r="L481" s="7">
        <f>IF(J481="High Risk",COUNTIF($J$3:J481,"High Risk"),"")</f>
        <v>88</v>
      </c>
      <c r="M481" s="7">
        <f>RANK(H481,$H$3:$H$1002,0)+COUNTIF($H$3:H481,H481)-1</f>
        <v>809</v>
      </c>
    </row>
    <row r="482" spans="1:13" x14ac:dyDescent="0.35">
      <c r="A482" s="7" t="s">
        <v>965</v>
      </c>
      <c r="B482" s="7" t="s">
        <v>444</v>
      </c>
      <c r="C482" s="8" t="s">
        <v>56</v>
      </c>
      <c r="D482" s="8" t="s">
        <v>63</v>
      </c>
      <c r="E482" s="8">
        <v>63.4</v>
      </c>
      <c r="F482" s="8">
        <v>4.2</v>
      </c>
      <c r="G482" s="8">
        <v>56</v>
      </c>
      <c r="H482" s="7">
        <f t="shared" si="21"/>
        <v>54</v>
      </c>
      <c r="I482" s="7" t="str">
        <f t="shared" si="22"/>
        <v>PASS</v>
      </c>
      <c r="J482" s="7" t="str">
        <f t="shared" si="23"/>
        <v>Medium Risk</v>
      </c>
      <c r="L482" s="7" t="str">
        <f>IF(J482="High Risk",COUNTIF($J$3:J482,"High Risk"),"")</f>
        <v/>
      </c>
      <c r="M482" s="7">
        <f>RANK(H482,$H$3:$H$1002,0)+COUNTIF($H$3:H482,H482)-1</f>
        <v>733</v>
      </c>
    </row>
    <row r="483" spans="1:13" x14ac:dyDescent="0.35">
      <c r="A483" s="7" t="s">
        <v>966</v>
      </c>
      <c r="B483" s="7" t="s">
        <v>967</v>
      </c>
      <c r="C483" s="8" t="s">
        <v>56</v>
      </c>
      <c r="D483" s="8" t="s">
        <v>63</v>
      </c>
      <c r="E483" s="8">
        <v>83.4</v>
      </c>
      <c r="F483" s="8">
        <v>2.6</v>
      </c>
      <c r="G483" s="8">
        <v>60</v>
      </c>
      <c r="H483" s="7">
        <f t="shared" si="21"/>
        <v>56.8</v>
      </c>
      <c r="I483" s="7" t="str">
        <f t="shared" si="22"/>
        <v>PASS</v>
      </c>
      <c r="J483" s="7" t="str">
        <f t="shared" si="23"/>
        <v>Medium Risk</v>
      </c>
      <c r="L483" s="7" t="str">
        <f>IF(J483="High Risk",COUNTIF($J$3:J483,"High Risk"),"")</f>
        <v/>
      </c>
      <c r="M483" s="7">
        <f>RANK(H483,$H$3:$H$1002,0)+COUNTIF($H$3:H483,H483)-1</f>
        <v>689</v>
      </c>
    </row>
    <row r="484" spans="1:13" x14ac:dyDescent="0.35">
      <c r="A484" s="7" t="s">
        <v>968</v>
      </c>
      <c r="B484" s="7" t="s">
        <v>883</v>
      </c>
      <c r="C484" s="8" t="s">
        <v>62</v>
      </c>
      <c r="D484" s="8" t="s">
        <v>68</v>
      </c>
      <c r="E484" s="8">
        <v>71.7</v>
      </c>
      <c r="F484" s="8">
        <v>5.6</v>
      </c>
      <c r="G484" s="8">
        <v>63</v>
      </c>
      <c r="H484" s="7">
        <f t="shared" si="21"/>
        <v>63.5</v>
      </c>
      <c r="I484" s="7" t="str">
        <f t="shared" si="22"/>
        <v>PASS</v>
      </c>
      <c r="J484" s="7" t="str">
        <f t="shared" si="23"/>
        <v>Medium Risk</v>
      </c>
      <c r="L484" s="7" t="str">
        <f>IF(J484="High Risk",COUNTIF($J$3:J484,"High Risk"),"")</f>
        <v/>
      </c>
      <c r="M484" s="7">
        <f>RANK(H484,$H$3:$H$1002,0)+COUNTIF($H$3:H484,H484)-1</f>
        <v>558</v>
      </c>
    </row>
    <row r="485" spans="1:13" x14ac:dyDescent="0.35">
      <c r="A485" s="7" t="s">
        <v>969</v>
      </c>
      <c r="B485" s="7" t="s">
        <v>970</v>
      </c>
      <c r="C485" s="8" t="s">
        <v>56</v>
      </c>
      <c r="D485" s="8" t="s">
        <v>75</v>
      </c>
      <c r="E485" s="8">
        <v>76.5</v>
      </c>
      <c r="F485" s="8">
        <v>6.8</v>
      </c>
      <c r="G485" s="8">
        <v>67</v>
      </c>
      <c r="H485" s="7">
        <f t="shared" si="21"/>
        <v>70.2</v>
      </c>
      <c r="I485" s="7" t="str">
        <f t="shared" si="22"/>
        <v>PASS</v>
      </c>
      <c r="J485" s="7" t="str">
        <f t="shared" si="23"/>
        <v>Low Risk</v>
      </c>
      <c r="L485" s="7" t="str">
        <f>IF(J485="High Risk",COUNTIF($J$3:J485,"High Risk"),"")</f>
        <v/>
      </c>
      <c r="M485" s="7">
        <f>RANK(H485,$H$3:$H$1002,0)+COUNTIF($H$3:H485,H485)-1</f>
        <v>428</v>
      </c>
    </row>
    <row r="486" spans="1:13" x14ac:dyDescent="0.35">
      <c r="A486" s="7" t="s">
        <v>971</v>
      </c>
      <c r="B486" s="7" t="s">
        <v>972</v>
      </c>
      <c r="C486" s="8" t="s">
        <v>62</v>
      </c>
      <c r="D486" s="8" t="s">
        <v>63</v>
      </c>
      <c r="E486" s="8">
        <v>100</v>
      </c>
      <c r="F486" s="8">
        <v>11.7</v>
      </c>
      <c r="G486" s="8">
        <v>81</v>
      </c>
      <c r="H486" s="7">
        <f t="shared" si="21"/>
        <v>92.4</v>
      </c>
      <c r="I486" s="7" t="str">
        <f t="shared" si="22"/>
        <v>PASS</v>
      </c>
      <c r="J486" s="7" t="str">
        <f t="shared" si="23"/>
        <v>Low Risk</v>
      </c>
      <c r="L486" s="7" t="str">
        <f>IF(J486="High Risk",COUNTIF($J$3:J486,"High Risk"),"")</f>
        <v/>
      </c>
      <c r="M486" s="7">
        <f>RANK(H486,$H$3:$H$1002,0)+COUNTIF($H$3:H486,H486)-1</f>
        <v>78</v>
      </c>
    </row>
    <row r="487" spans="1:13" x14ac:dyDescent="0.35">
      <c r="A487" s="7" t="s">
        <v>973</v>
      </c>
      <c r="B487" s="7" t="s">
        <v>902</v>
      </c>
      <c r="C487" s="8" t="s">
        <v>62</v>
      </c>
      <c r="D487" s="8" t="s">
        <v>75</v>
      </c>
      <c r="E487" s="8">
        <v>85.4</v>
      </c>
      <c r="F487" s="8">
        <v>8.6999999999999993</v>
      </c>
      <c r="G487" s="8">
        <v>74</v>
      </c>
      <c r="H487" s="7">
        <f t="shared" si="21"/>
        <v>81.3</v>
      </c>
      <c r="I487" s="7" t="str">
        <f t="shared" si="22"/>
        <v>PASS</v>
      </c>
      <c r="J487" s="7" t="str">
        <f t="shared" si="23"/>
        <v>Low Risk</v>
      </c>
      <c r="L487" s="7" t="str">
        <f>IF(J487="High Risk",COUNTIF($J$3:J487,"High Risk"),"")</f>
        <v/>
      </c>
      <c r="M487" s="7">
        <f>RANK(H487,$H$3:$H$1002,0)+COUNTIF($H$3:H487,H487)-1</f>
        <v>227</v>
      </c>
    </row>
    <row r="488" spans="1:13" x14ac:dyDescent="0.35">
      <c r="A488" s="7" t="s">
        <v>974</v>
      </c>
      <c r="B488" s="7" t="s">
        <v>233</v>
      </c>
      <c r="C488" s="8" t="s">
        <v>62</v>
      </c>
      <c r="D488" s="8" t="s">
        <v>57</v>
      </c>
      <c r="E488" s="8">
        <v>80.2</v>
      </c>
      <c r="F488" s="8">
        <v>10.1</v>
      </c>
      <c r="G488" s="8">
        <v>84</v>
      </c>
      <c r="H488" s="7">
        <f t="shared" si="21"/>
        <v>87.7</v>
      </c>
      <c r="I488" s="7" t="str">
        <f t="shared" si="22"/>
        <v>PASS</v>
      </c>
      <c r="J488" s="7" t="str">
        <f t="shared" si="23"/>
        <v>Low Risk</v>
      </c>
      <c r="L488" s="7" t="str">
        <f>IF(J488="High Risk",COUNTIF($J$3:J488,"High Risk"),"")</f>
        <v/>
      </c>
      <c r="M488" s="7">
        <f>RANK(H488,$H$3:$H$1002,0)+COUNTIF($H$3:H488,H488)-1</f>
        <v>132</v>
      </c>
    </row>
    <row r="489" spans="1:13" x14ac:dyDescent="0.35">
      <c r="A489" s="7" t="s">
        <v>975</v>
      </c>
      <c r="B489" s="7" t="s">
        <v>976</v>
      </c>
      <c r="C489" s="8" t="s">
        <v>56</v>
      </c>
      <c r="D489" s="8" t="s">
        <v>68</v>
      </c>
      <c r="E489" s="8">
        <v>84.6</v>
      </c>
      <c r="F489" s="8">
        <v>7.7</v>
      </c>
      <c r="G489" s="8">
        <v>70</v>
      </c>
      <c r="H489" s="7">
        <f t="shared" si="21"/>
        <v>76.5</v>
      </c>
      <c r="I489" s="7" t="str">
        <f t="shared" si="22"/>
        <v>PASS</v>
      </c>
      <c r="J489" s="7" t="str">
        <f t="shared" si="23"/>
        <v>Low Risk</v>
      </c>
      <c r="L489" s="7" t="str">
        <f>IF(J489="High Risk",COUNTIF($J$3:J489,"High Risk"),"")</f>
        <v/>
      </c>
      <c r="M489" s="7">
        <f>RANK(H489,$H$3:$H$1002,0)+COUNTIF($H$3:H489,H489)-1</f>
        <v>297</v>
      </c>
    </row>
    <row r="490" spans="1:13" x14ac:dyDescent="0.35">
      <c r="A490" s="7" t="s">
        <v>977</v>
      </c>
      <c r="B490" s="7" t="s">
        <v>978</v>
      </c>
      <c r="C490" s="8" t="s">
        <v>62</v>
      </c>
      <c r="D490" s="8" t="s">
        <v>75</v>
      </c>
      <c r="E490" s="8">
        <v>85.1</v>
      </c>
      <c r="F490" s="8">
        <v>5.3</v>
      </c>
      <c r="G490" s="8">
        <v>86</v>
      </c>
      <c r="H490" s="7">
        <f t="shared" si="21"/>
        <v>75.8</v>
      </c>
      <c r="I490" s="7" t="str">
        <f t="shared" si="22"/>
        <v>PASS</v>
      </c>
      <c r="J490" s="7" t="str">
        <f t="shared" si="23"/>
        <v>Low Risk</v>
      </c>
      <c r="L490" s="7" t="str">
        <f>IF(J490="High Risk",COUNTIF($J$3:J490,"High Risk"),"")</f>
        <v/>
      </c>
      <c r="M490" s="7">
        <f>RANK(H490,$H$3:$H$1002,0)+COUNTIF($H$3:H490,H490)-1</f>
        <v>310</v>
      </c>
    </row>
    <row r="491" spans="1:13" x14ac:dyDescent="0.35">
      <c r="A491" s="7" t="s">
        <v>979</v>
      </c>
      <c r="B491" s="7" t="s">
        <v>980</v>
      </c>
      <c r="C491" s="8" t="s">
        <v>62</v>
      </c>
      <c r="D491" s="8" t="s">
        <v>68</v>
      </c>
      <c r="E491" s="8">
        <v>100</v>
      </c>
      <c r="F491" s="8">
        <v>12.9</v>
      </c>
      <c r="G491" s="8">
        <v>89</v>
      </c>
      <c r="H491" s="7">
        <f t="shared" si="21"/>
        <v>95.6</v>
      </c>
      <c r="I491" s="7" t="str">
        <f t="shared" si="22"/>
        <v>PASS</v>
      </c>
      <c r="J491" s="7" t="str">
        <f t="shared" si="23"/>
        <v>Low Risk</v>
      </c>
      <c r="L491" s="7" t="str">
        <f>IF(J491="High Risk",COUNTIF($J$3:J491,"High Risk"),"")</f>
        <v/>
      </c>
      <c r="M491" s="7">
        <f>RANK(H491,$H$3:$H$1002,0)+COUNTIF($H$3:H491,H491)-1</f>
        <v>52</v>
      </c>
    </row>
    <row r="492" spans="1:13" x14ac:dyDescent="0.35">
      <c r="A492" s="7" t="s">
        <v>981</v>
      </c>
      <c r="B492" s="7" t="s">
        <v>982</v>
      </c>
      <c r="C492" s="8" t="s">
        <v>56</v>
      </c>
      <c r="D492" s="8" t="s">
        <v>68</v>
      </c>
      <c r="E492" s="8">
        <v>56.8</v>
      </c>
      <c r="F492" s="8">
        <v>0.5</v>
      </c>
      <c r="G492" s="8">
        <v>49</v>
      </c>
      <c r="H492" s="7">
        <f t="shared" si="21"/>
        <v>38.1</v>
      </c>
      <c r="I492" s="7" t="str">
        <f t="shared" si="22"/>
        <v>FAIL</v>
      </c>
      <c r="J492" s="7" t="str">
        <f t="shared" si="23"/>
        <v>High Risk</v>
      </c>
      <c r="L492" s="7">
        <f>IF(J492="High Risk",COUNTIF($J$3:J492,"High Risk"),"")</f>
        <v>89</v>
      </c>
      <c r="M492" s="7">
        <f>RANK(H492,$H$3:$H$1002,0)+COUNTIF($H$3:H492,H492)-1</f>
        <v>922</v>
      </c>
    </row>
    <row r="493" spans="1:13" x14ac:dyDescent="0.35">
      <c r="A493" s="7" t="s">
        <v>983</v>
      </c>
      <c r="B493" s="7" t="s">
        <v>438</v>
      </c>
      <c r="C493" s="8" t="s">
        <v>62</v>
      </c>
      <c r="D493" s="8" t="s">
        <v>68</v>
      </c>
      <c r="E493" s="8">
        <v>83.8</v>
      </c>
      <c r="F493" s="8">
        <v>10.5</v>
      </c>
      <c r="G493" s="8">
        <v>78</v>
      </c>
      <c r="H493" s="7">
        <f t="shared" si="21"/>
        <v>86.3</v>
      </c>
      <c r="I493" s="7" t="str">
        <f t="shared" si="22"/>
        <v>PASS</v>
      </c>
      <c r="J493" s="7" t="str">
        <f t="shared" si="23"/>
        <v>Low Risk</v>
      </c>
      <c r="L493" s="7" t="str">
        <f>IF(J493="High Risk",COUNTIF($J$3:J493,"High Risk"),"")</f>
        <v/>
      </c>
      <c r="M493" s="7">
        <f>RANK(H493,$H$3:$H$1002,0)+COUNTIF($H$3:H493,H493)-1</f>
        <v>151</v>
      </c>
    </row>
    <row r="494" spans="1:13" x14ac:dyDescent="0.35">
      <c r="A494" s="7" t="s">
        <v>984</v>
      </c>
      <c r="B494" s="7" t="s">
        <v>985</v>
      </c>
      <c r="C494" s="8" t="s">
        <v>62</v>
      </c>
      <c r="D494" s="8" t="s">
        <v>75</v>
      </c>
      <c r="E494" s="8">
        <v>88</v>
      </c>
      <c r="F494" s="8">
        <v>6.8</v>
      </c>
      <c r="G494" s="8">
        <v>86</v>
      </c>
      <c r="H494" s="7">
        <f t="shared" si="21"/>
        <v>81.2</v>
      </c>
      <c r="I494" s="7" t="str">
        <f t="shared" si="22"/>
        <v>PASS</v>
      </c>
      <c r="J494" s="7" t="str">
        <f t="shared" si="23"/>
        <v>Low Risk</v>
      </c>
      <c r="L494" s="7" t="str">
        <f>IF(J494="High Risk",COUNTIF($J$3:J494,"High Risk"),"")</f>
        <v/>
      </c>
      <c r="M494" s="7">
        <f>RANK(H494,$H$3:$H$1002,0)+COUNTIF($H$3:H494,H494)-1</f>
        <v>230</v>
      </c>
    </row>
    <row r="495" spans="1:13" x14ac:dyDescent="0.35">
      <c r="A495" s="7" t="s">
        <v>986</v>
      </c>
      <c r="B495" s="7" t="s">
        <v>987</v>
      </c>
      <c r="C495" s="8" t="s">
        <v>56</v>
      </c>
      <c r="D495" s="8" t="s">
        <v>75</v>
      </c>
      <c r="E495" s="8">
        <v>50.2</v>
      </c>
      <c r="F495" s="8">
        <v>4.3</v>
      </c>
      <c r="G495" s="8">
        <v>48</v>
      </c>
      <c r="H495" s="7">
        <f t="shared" si="21"/>
        <v>47.2</v>
      </c>
      <c r="I495" s="7" t="str">
        <f t="shared" si="22"/>
        <v>FAIL</v>
      </c>
      <c r="J495" s="7" t="str">
        <f t="shared" si="23"/>
        <v>High Risk</v>
      </c>
      <c r="L495" s="7">
        <f>IF(J495="High Risk",COUNTIF($J$3:J495,"High Risk"),"")</f>
        <v>90</v>
      </c>
      <c r="M495" s="7">
        <f>RANK(H495,$H$3:$H$1002,0)+COUNTIF($H$3:H495,H495)-1</f>
        <v>833</v>
      </c>
    </row>
    <row r="496" spans="1:13" x14ac:dyDescent="0.35">
      <c r="A496" s="7" t="s">
        <v>988</v>
      </c>
      <c r="B496" s="7" t="s">
        <v>989</v>
      </c>
      <c r="C496" s="8" t="s">
        <v>56</v>
      </c>
      <c r="D496" s="8" t="s">
        <v>63</v>
      </c>
      <c r="E496" s="8">
        <v>66.099999999999994</v>
      </c>
      <c r="F496" s="8">
        <v>6.9</v>
      </c>
      <c r="G496" s="8">
        <v>47</v>
      </c>
      <c r="H496" s="7">
        <f t="shared" si="21"/>
        <v>59.3</v>
      </c>
      <c r="I496" s="7" t="str">
        <f t="shared" si="22"/>
        <v>PASS</v>
      </c>
      <c r="J496" s="7" t="str">
        <f t="shared" si="23"/>
        <v>Medium Risk</v>
      </c>
      <c r="L496" s="7" t="str">
        <f>IF(J496="High Risk",COUNTIF($J$3:J496,"High Risk"),"")</f>
        <v/>
      </c>
      <c r="M496" s="7">
        <f>RANK(H496,$H$3:$H$1002,0)+COUNTIF($H$3:H496,H496)-1</f>
        <v>636</v>
      </c>
    </row>
    <row r="497" spans="1:13" x14ac:dyDescent="0.35">
      <c r="A497" s="7" t="s">
        <v>990</v>
      </c>
      <c r="B497" s="7" t="s">
        <v>991</v>
      </c>
      <c r="C497" s="8" t="s">
        <v>56</v>
      </c>
      <c r="D497" s="8" t="s">
        <v>68</v>
      </c>
      <c r="E497" s="8">
        <v>57.8</v>
      </c>
      <c r="F497" s="8">
        <v>2.1</v>
      </c>
      <c r="G497" s="8">
        <v>48</v>
      </c>
      <c r="H497" s="7">
        <f t="shared" si="21"/>
        <v>42.8</v>
      </c>
      <c r="I497" s="7" t="str">
        <f t="shared" si="22"/>
        <v>FAIL</v>
      </c>
      <c r="J497" s="7" t="str">
        <f t="shared" si="23"/>
        <v>High Risk</v>
      </c>
      <c r="L497" s="7">
        <f>IF(J497="High Risk",COUNTIF($J$3:J497,"High Risk"),"")</f>
        <v>91</v>
      </c>
      <c r="M497" s="7">
        <f>RANK(H497,$H$3:$H$1002,0)+COUNTIF($H$3:H497,H497)-1</f>
        <v>874</v>
      </c>
    </row>
    <row r="498" spans="1:13" x14ac:dyDescent="0.35">
      <c r="A498" s="7" t="s">
        <v>992</v>
      </c>
      <c r="B498" s="7" t="s">
        <v>993</v>
      </c>
      <c r="C498" s="8" t="s">
        <v>62</v>
      </c>
      <c r="D498" s="8" t="s">
        <v>75</v>
      </c>
      <c r="E498" s="8">
        <v>81.2</v>
      </c>
      <c r="F498" s="8">
        <v>3.8</v>
      </c>
      <c r="G498" s="8">
        <v>60</v>
      </c>
      <c r="H498" s="7">
        <f t="shared" si="21"/>
        <v>59.8</v>
      </c>
      <c r="I498" s="7" t="str">
        <f t="shared" si="22"/>
        <v>PASS</v>
      </c>
      <c r="J498" s="7" t="str">
        <f t="shared" si="23"/>
        <v>Medium Risk</v>
      </c>
      <c r="L498" s="7" t="str">
        <f>IF(J498="High Risk",COUNTIF($J$3:J498,"High Risk"),"")</f>
        <v/>
      </c>
      <c r="M498" s="7">
        <f>RANK(H498,$H$3:$H$1002,0)+COUNTIF($H$3:H498,H498)-1</f>
        <v>628</v>
      </c>
    </row>
    <row r="499" spans="1:13" x14ac:dyDescent="0.35">
      <c r="A499" s="7" t="s">
        <v>994</v>
      </c>
      <c r="B499" s="7" t="s">
        <v>995</v>
      </c>
      <c r="C499" s="8" t="s">
        <v>56</v>
      </c>
      <c r="D499" s="8" t="s">
        <v>75</v>
      </c>
      <c r="E499" s="8">
        <v>67.7</v>
      </c>
      <c r="F499" s="8">
        <v>3.5</v>
      </c>
      <c r="G499" s="8">
        <v>59</v>
      </c>
      <c r="H499" s="7">
        <f t="shared" si="21"/>
        <v>54.4</v>
      </c>
      <c r="I499" s="7" t="str">
        <f t="shared" si="22"/>
        <v>PASS</v>
      </c>
      <c r="J499" s="7" t="str">
        <f t="shared" si="23"/>
        <v>Medium Risk</v>
      </c>
      <c r="L499" s="7" t="str">
        <f>IF(J499="High Risk",COUNTIF($J$3:J499,"High Risk"),"")</f>
        <v/>
      </c>
      <c r="M499" s="7">
        <f>RANK(H499,$H$3:$H$1002,0)+COUNTIF($H$3:H499,H499)-1</f>
        <v>725</v>
      </c>
    </row>
    <row r="500" spans="1:13" x14ac:dyDescent="0.35">
      <c r="A500" s="7" t="s">
        <v>996</v>
      </c>
      <c r="B500" s="7" t="s">
        <v>997</v>
      </c>
      <c r="C500" s="8" t="s">
        <v>62</v>
      </c>
      <c r="D500" s="8" t="s">
        <v>57</v>
      </c>
      <c r="E500" s="8">
        <v>72.900000000000006</v>
      </c>
      <c r="F500" s="8">
        <v>2.2000000000000002</v>
      </c>
      <c r="G500" s="8">
        <v>58</v>
      </c>
      <c r="H500" s="7">
        <f t="shared" si="21"/>
        <v>51.7</v>
      </c>
      <c r="I500" s="7" t="str">
        <f t="shared" si="22"/>
        <v>PASS</v>
      </c>
      <c r="J500" s="7" t="str">
        <f t="shared" si="23"/>
        <v>Medium Risk</v>
      </c>
      <c r="L500" s="7" t="str">
        <f>IF(J500="High Risk",COUNTIF($J$3:J500,"High Risk"),"")</f>
        <v/>
      </c>
      <c r="M500" s="7">
        <f>RANK(H500,$H$3:$H$1002,0)+COUNTIF($H$3:H500,H500)-1</f>
        <v>775</v>
      </c>
    </row>
    <row r="501" spans="1:13" x14ac:dyDescent="0.35">
      <c r="A501" s="7" t="s">
        <v>998</v>
      </c>
      <c r="B501" s="7" t="s">
        <v>999</v>
      </c>
      <c r="C501" s="8" t="s">
        <v>62</v>
      </c>
      <c r="D501" s="8" t="s">
        <v>63</v>
      </c>
      <c r="E501" s="8">
        <v>58.4</v>
      </c>
      <c r="F501" s="8">
        <v>2.6</v>
      </c>
      <c r="G501" s="8">
        <v>67</v>
      </c>
      <c r="H501" s="7">
        <f t="shared" si="21"/>
        <v>52.1</v>
      </c>
      <c r="I501" s="7" t="str">
        <f t="shared" si="22"/>
        <v>PASS</v>
      </c>
      <c r="J501" s="7" t="str">
        <f t="shared" si="23"/>
        <v>Medium Risk</v>
      </c>
      <c r="L501" s="7" t="str">
        <f>IF(J501="High Risk",COUNTIF($J$3:J501,"High Risk"),"")</f>
        <v/>
      </c>
      <c r="M501" s="7">
        <f>RANK(H501,$H$3:$H$1002,0)+COUNTIF($H$3:H501,H501)-1</f>
        <v>768</v>
      </c>
    </row>
    <row r="502" spans="1:13" x14ac:dyDescent="0.35">
      <c r="A502" s="7" t="s">
        <v>1000</v>
      </c>
      <c r="B502" s="7" t="s">
        <v>1001</v>
      </c>
      <c r="C502" s="8" t="s">
        <v>56</v>
      </c>
      <c r="D502" s="8" t="s">
        <v>75</v>
      </c>
      <c r="E502" s="8">
        <v>66.5</v>
      </c>
      <c r="F502" s="8">
        <v>6</v>
      </c>
      <c r="G502" s="8">
        <v>61</v>
      </c>
      <c r="H502" s="7">
        <f t="shared" si="21"/>
        <v>62.4</v>
      </c>
      <c r="I502" s="7" t="str">
        <f t="shared" si="22"/>
        <v>PASS</v>
      </c>
      <c r="J502" s="7" t="str">
        <f t="shared" si="23"/>
        <v>Medium Risk</v>
      </c>
      <c r="L502" s="7" t="str">
        <f>IF(J502="High Risk",COUNTIF($J$3:J502,"High Risk"),"")</f>
        <v/>
      </c>
      <c r="M502" s="7">
        <f>RANK(H502,$H$3:$H$1002,0)+COUNTIF($H$3:H502,H502)-1</f>
        <v>573</v>
      </c>
    </row>
    <row r="503" spans="1:13" x14ac:dyDescent="0.35">
      <c r="A503" s="7" t="s">
        <v>1002</v>
      </c>
      <c r="B503" s="7" t="s">
        <v>334</v>
      </c>
      <c r="C503" s="8" t="s">
        <v>62</v>
      </c>
      <c r="D503" s="8" t="s">
        <v>63</v>
      </c>
      <c r="E503" s="8">
        <v>84.6</v>
      </c>
      <c r="F503" s="8">
        <v>8.6</v>
      </c>
      <c r="G503" s="8">
        <v>52</v>
      </c>
      <c r="H503" s="7">
        <f t="shared" si="21"/>
        <v>72</v>
      </c>
      <c r="I503" s="7" t="str">
        <f t="shared" si="22"/>
        <v>PASS</v>
      </c>
      <c r="J503" s="7" t="str">
        <f t="shared" si="23"/>
        <v>Low Risk</v>
      </c>
      <c r="L503" s="7" t="str">
        <f>IF(J503="High Risk",COUNTIF($J$3:J503,"High Risk"),"")</f>
        <v/>
      </c>
      <c r="M503" s="7">
        <f>RANK(H503,$H$3:$H$1002,0)+COUNTIF($H$3:H503,H503)-1</f>
        <v>383</v>
      </c>
    </row>
    <row r="504" spans="1:13" x14ac:dyDescent="0.35">
      <c r="A504" s="7" t="s">
        <v>1003</v>
      </c>
      <c r="B504" s="7" t="s">
        <v>721</v>
      </c>
      <c r="C504" s="8" t="s">
        <v>62</v>
      </c>
      <c r="D504" s="8" t="s">
        <v>75</v>
      </c>
      <c r="E504" s="8">
        <v>100</v>
      </c>
      <c r="F504" s="8">
        <v>6.8</v>
      </c>
      <c r="G504" s="8">
        <v>91</v>
      </c>
      <c r="H504" s="7">
        <f t="shared" si="21"/>
        <v>86.8</v>
      </c>
      <c r="I504" s="7" t="str">
        <f t="shared" si="22"/>
        <v>PASS</v>
      </c>
      <c r="J504" s="7" t="str">
        <f t="shared" si="23"/>
        <v>Low Risk</v>
      </c>
      <c r="L504" s="7" t="str">
        <f>IF(J504="High Risk",COUNTIF($J$3:J504,"High Risk"),"")</f>
        <v/>
      </c>
      <c r="M504" s="7">
        <f>RANK(H504,$H$3:$H$1002,0)+COUNTIF($H$3:H504,H504)-1</f>
        <v>141</v>
      </c>
    </row>
    <row r="505" spans="1:13" x14ac:dyDescent="0.35">
      <c r="A505" s="7" t="s">
        <v>1004</v>
      </c>
      <c r="B505" s="7" t="s">
        <v>1005</v>
      </c>
      <c r="C505" s="8" t="s">
        <v>62</v>
      </c>
      <c r="D505" s="8" t="s">
        <v>63</v>
      </c>
      <c r="E505" s="8">
        <v>100</v>
      </c>
      <c r="F505" s="8">
        <v>6.7</v>
      </c>
      <c r="G505" s="8">
        <v>83</v>
      </c>
      <c r="H505" s="7">
        <f t="shared" si="21"/>
        <v>83.3</v>
      </c>
      <c r="I505" s="7" t="str">
        <f t="shared" si="22"/>
        <v>PASS</v>
      </c>
      <c r="J505" s="7" t="str">
        <f t="shared" si="23"/>
        <v>Low Risk</v>
      </c>
      <c r="L505" s="7" t="str">
        <f>IF(J505="High Risk",COUNTIF($J$3:J505,"High Risk"),"")</f>
        <v/>
      </c>
      <c r="M505" s="7">
        <f>RANK(H505,$H$3:$H$1002,0)+COUNTIF($H$3:H505,H505)-1</f>
        <v>190</v>
      </c>
    </row>
    <row r="506" spans="1:13" x14ac:dyDescent="0.35">
      <c r="A506" s="7" t="s">
        <v>1006</v>
      </c>
      <c r="B506" s="7" t="s">
        <v>1007</v>
      </c>
      <c r="C506" s="8" t="s">
        <v>56</v>
      </c>
      <c r="D506" s="8" t="s">
        <v>57</v>
      </c>
      <c r="E506" s="8">
        <v>54.9</v>
      </c>
      <c r="F506" s="8">
        <v>2.2999999999999998</v>
      </c>
      <c r="G506" s="8">
        <v>28</v>
      </c>
      <c r="H506" s="7">
        <f t="shared" si="21"/>
        <v>34.6</v>
      </c>
      <c r="I506" s="7" t="str">
        <f t="shared" si="22"/>
        <v>FAIL</v>
      </c>
      <c r="J506" s="7" t="str">
        <f t="shared" si="23"/>
        <v>High Risk</v>
      </c>
      <c r="L506" s="7">
        <f>IF(J506="High Risk",COUNTIF($J$3:J506,"High Risk"),"")</f>
        <v>92</v>
      </c>
      <c r="M506" s="7">
        <f>RANK(H506,$H$3:$H$1002,0)+COUNTIF($H$3:H506,H506)-1</f>
        <v>947</v>
      </c>
    </row>
    <row r="507" spans="1:13" x14ac:dyDescent="0.35">
      <c r="A507" s="7" t="s">
        <v>1008</v>
      </c>
      <c r="B507" s="7" t="s">
        <v>1009</v>
      </c>
      <c r="C507" s="8" t="s">
        <v>62</v>
      </c>
      <c r="D507" s="8" t="s">
        <v>63</v>
      </c>
      <c r="E507" s="8">
        <v>35.799999999999997</v>
      </c>
      <c r="F507" s="8">
        <v>2.5</v>
      </c>
      <c r="G507" s="8">
        <v>27</v>
      </c>
      <c r="H507" s="7">
        <f t="shared" si="21"/>
        <v>29</v>
      </c>
      <c r="I507" s="7" t="str">
        <f t="shared" si="22"/>
        <v>FAIL</v>
      </c>
      <c r="J507" s="7" t="str">
        <f t="shared" si="23"/>
        <v>High Risk</v>
      </c>
      <c r="L507" s="7">
        <f>IF(J507="High Risk",COUNTIF($J$3:J507,"High Risk"),"")</f>
        <v>93</v>
      </c>
      <c r="M507" s="7">
        <f>RANK(H507,$H$3:$H$1002,0)+COUNTIF($H$3:H507,H507)-1</f>
        <v>969</v>
      </c>
    </row>
    <row r="508" spans="1:13" x14ac:dyDescent="0.35">
      <c r="A508" s="7" t="s">
        <v>1010</v>
      </c>
      <c r="B508" s="7" t="s">
        <v>1011</v>
      </c>
      <c r="C508" s="8" t="s">
        <v>62</v>
      </c>
      <c r="D508" s="8" t="s">
        <v>75</v>
      </c>
      <c r="E508" s="8">
        <v>40.299999999999997</v>
      </c>
      <c r="F508" s="8">
        <v>1.4</v>
      </c>
      <c r="G508" s="8">
        <v>39</v>
      </c>
      <c r="H508" s="7">
        <f t="shared" si="21"/>
        <v>31.9</v>
      </c>
      <c r="I508" s="7" t="str">
        <f t="shared" si="22"/>
        <v>FAIL</v>
      </c>
      <c r="J508" s="7" t="str">
        <f t="shared" si="23"/>
        <v>High Risk</v>
      </c>
      <c r="L508" s="7">
        <f>IF(J508="High Risk",COUNTIF($J$3:J508,"High Risk"),"")</f>
        <v>94</v>
      </c>
      <c r="M508" s="7">
        <f>RANK(H508,$H$3:$H$1002,0)+COUNTIF($H$3:H508,H508)-1</f>
        <v>955</v>
      </c>
    </row>
    <row r="509" spans="1:13" x14ac:dyDescent="0.35">
      <c r="A509" s="7" t="s">
        <v>1012</v>
      </c>
      <c r="B509" s="7" t="s">
        <v>1013</v>
      </c>
      <c r="C509" s="8" t="s">
        <v>56</v>
      </c>
      <c r="D509" s="8" t="s">
        <v>63</v>
      </c>
      <c r="E509" s="8">
        <v>60.3</v>
      </c>
      <c r="F509" s="8">
        <v>5.6</v>
      </c>
      <c r="G509" s="8">
        <v>50</v>
      </c>
      <c r="H509" s="7">
        <f t="shared" si="21"/>
        <v>54.9</v>
      </c>
      <c r="I509" s="7" t="str">
        <f t="shared" si="22"/>
        <v>PASS</v>
      </c>
      <c r="J509" s="7" t="str">
        <f t="shared" si="23"/>
        <v>Medium Risk</v>
      </c>
      <c r="L509" s="7" t="str">
        <f>IF(J509="High Risk",COUNTIF($J$3:J509,"High Risk"),"")</f>
        <v/>
      </c>
      <c r="M509" s="7">
        <f>RANK(H509,$H$3:$H$1002,0)+COUNTIF($H$3:H509,H509)-1</f>
        <v>715</v>
      </c>
    </row>
    <row r="510" spans="1:13" x14ac:dyDescent="0.35">
      <c r="A510" s="7" t="s">
        <v>1014</v>
      </c>
      <c r="B510" s="7" t="s">
        <v>1015</v>
      </c>
      <c r="C510" s="8" t="s">
        <v>56</v>
      </c>
      <c r="D510" s="8" t="s">
        <v>68</v>
      </c>
      <c r="E510" s="8">
        <v>89.6</v>
      </c>
      <c r="F510" s="8">
        <v>9.9</v>
      </c>
      <c r="G510" s="8">
        <v>87</v>
      </c>
      <c r="H510" s="7">
        <f t="shared" si="21"/>
        <v>91.4</v>
      </c>
      <c r="I510" s="7" t="str">
        <f t="shared" si="22"/>
        <v>PASS</v>
      </c>
      <c r="J510" s="7" t="str">
        <f t="shared" si="23"/>
        <v>Low Risk</v>
      </c>
      <c r="L510" s="7" t="str">
        <f>IF(J510="High Risk",COUNTIF($J$3:J510,"High Risk"),"")</f>
        <v/>
      </c>
      <c r="M510" s="7">
        <f>RANK(H510,$H$3:$H$1002,0)+COUNTIF($H$3:H510,H510)-1</f>
        <v>92</v>
      </c>
    </row>
    <row r="511" spans="1:13" x14ac:dyDescent="0.35">
      <c r="A511" s="7" t="s">
        <v>1016</v>
      </c>
      <c r="B511" s="7" t="s">
        <v>389</v>
      </c>
      <c r="C511" s="8" t="s">
        <v>62</v>
      </c>
      <c r="D511" s="8" t="s">
        <v>63</v>
      </c>
      <c r="E511" s="8">
        <v>77.5</v>
      </c>
      <c r="F511" s="8">
        <v>3.2</v>
      </c>
      <c r="G511" s="8">
        <v>54</v>
      </c>
      <c r="H511" s="7">
        <f t="shared" si="21"/>
        <v>54.5</v>
      </c>
      <c r="I511" s="7" t="str">
        <f t="shared" si="22"/>
        <v>PASS</v>
      </c>
      <c r="J511" s="7" t="str">
        <f t="shared" si="23"/>
        <v>Medium Risk</v>
      </c>
      <c r="L511" s="7" t="str">
        <f>IF(J511="High Risk",COUNTIF($J$3:J511,"High Risk"),"")</f>
        <v/>
      </c>
      <c r="M511" s="7">
        <f>RANK(H511,$H$3:$H$1002,0)+COUNTIF($H$3:H511,H511)-1</f>
        <v>723</v>
      </c>
    </row>
    <row r="512" spans="1:13" x14ac:dyDescent="0.35">
      <c r="A512" s="7" t="s">
        <v>1017</v>
      </c>
      <c r="B512" s="7" t="s">
        <v>1018</v>
      </c>
      <c r="C512" s="8" t="s">
        <v>56</v>
      </c>
      <c r="D512" s="8" t="s">
        <v>75</v>
      </c>
      <c r="E512" s="8">
        <v>72.2</v>
      </c>
      <c r="F512" s="8">
        <v>6.5</v>
      </c>
      <c r="G512" s="8">
        <v>51</v>
      </c>
      <c r="H512" s="7">
        <f t="shared" si="21"/>
        <v>61.6</v>
      </c>
      <c r="I512" s="7" t="str">
        <f t="shared" si="22"/>
        <v>PASS</v>
      </c>
      <c r="J512" s="7" t="str">
        <f t="shared" si="23"/>
        <v>Medium Risk</v>
      </c>
      <c r="L512" s="7" t="str">
        <f>IF(J512="High Risk",COUNTIF($J$3:J512,"High Risk"),"")</f>
        <v/>
      </c>
      <c r="M512" s="7">
        <f>RANK(H512,$H$3:$H$1002,0)+COUNTIF($H$3:H512,H512)-1</f>
        <v>592</v>
      </c>
    </row>
    <row r="513" spans="1:13" x14ac:dyDescent="0.35">
      <c r="A513" s="7" t="s">
        <v>1019</v>
      </c>
      <c r="B513" s="7" t="s">
        <v>1020</v>
      </c>
      <c r="C513" s="8" t="s">
        <v>56</v>
      </c>
      <c r="D513" s="8" t="s">
        <v>63</v>
      </c>
      <c r="E513" s="8">
        <v>75.3</v>
      </c>
      <c r="F513" s="8">
        <v>4.2</v>
      </c>
      <c r="G513" s="8">
        <v>68</v>
      </c>
      <c r="H513" s="7">
        <f t="shared" si="21"/>
        <v>62.4</v>
      </c>
      <c r="I513" s="7" t="str">
        <f t="shared" si="22"/>
        <v>PASS</v>
      </c>
      <c r="J513" s="7" t="str">
        <f t="shared" si="23"/>
        <v>Medium Risk</v>
      </c>
      <c r="L513" s="7" t="str">
        <f>IF(J513="High Risk",COUNTIF($J$3:J513,"High Risk"),"")</f>
        <v/>
      </c>
      <c r="M513" s="7">
        <f>RANK(H513,$H$3:$H$1002,0)+COUNTIF($H$3:H513,H513)-1</f>
        <v>574</v>
      </c>
    </row>
    <row r="514" spans="1:13" x14ac:dyDescent="0.35">
      <c r="A514" s="7" t="s">
        <v>1021</v>
      </c>
      <c r="B514" s="7" t="s">
        <v>170</v>
      </c>
      <c r="C514" s="8" t="s">
        <v>62</v>
      </c>
      <c r="D514" s="8" t="s">
        <v>68</v>
      </c>
      <c r="E514" s="8">
        <v>41.5</v>
      </c>
      <c r="F514" s="8">
        <v>0.7</v>
      </c>
      <c r="G514" s="8">
        <v>35</v>
      </c>
      <c r="H514" s="7">
        <f t="shared" si="21"/>
        <v>28.6</v>
      </c>
      <c r="I514" s="7" t="str">
        <f t="shared" si="22"/>
        <v>FAIL</v>
      </c>
      <c r="J514" s="7" t="str">
        <f t="shared" si="23"/>
        <v>High Risk</v>
      </c>
      <c r="L514" s="7">
        <f>IF(J514="High Risk",COUNTIF($J$3:J514,"High Risk"),"")</f>
        <v>95</v>
      </c>
      <c r="M514" s="7">
        <f>RANK(H514,$H$3:$H$1002,0)+COUNTIF($H$3:H514,H514)-1</f>
        <v>972</v>
      </c>
    </row>
    <row r="515" spans="1:13" x14ac:dyDescent="0.35">
      <c r="A515" s="7" t="s">
        <v>1022</v>
      </c>
      <c r="B515" s="7" t="s">
        <v>1023</v>
      </c>
      <c r="C515" s="8" t="s">
        <v>56</v>
      </c>
      <c r="D515" s="8" t="s">
        <v>57</v>
      </c>
      <c r="E515" s="8">
        <v>65.5</v>
      </c>
      <c r="F515" s="8">
        <v>5.2</v>
      </c>
      <c r="G515" s="8">
        <v>56</v>
      </c>
      <c r="H515" s="7">
        <f t="shared" ref="H515:H578" si="24">ROUND(0.4*G515+0.3*E515+0.3*MIN(F515/10,1)*100,1)</f>
        <v>57.7</v>
      </c>
      <c r="I515" s="7" t="str">
        <f t="shared" ref="I515:I578" si="25">IF(H515&gt;=50,"PASS","FAIL")</f>
        <v>PASS</v>
      </c>
      <c r="J515" s="7" t="str">
        <f t="shared" ref="J515:J578" si="26">IF(H515&lt;50,"High Risk",IF(H515&lt;65,"Medium Risk","Low Risk"))</f>
        <v>Medium Risk</v>
      </c>
      <c r="L515" s="7" t="str">
        <f>IF(J515="High Risk",COUNTIF($J$3:J515,"High Risk"),"")</f>
        <v/>
      </c>
      <c r="M515" s="7">
        <f>RANK(H515,$H$3:$H$1002,0)+COUNTIF($H$3:H515,H515)-1</f>
        <v>668</v>
      </c>
    </row>
    <row r="516" spans="1:13" x14ac:dyDescent="0.35">
      <c r="A516" s="7" t="s">
        <v>1024</v>
      </c>
      <c r="B516" s="7" t="s">
        <v>1025</v>
      </c>
      <c r="C516" s="8" t="s">
        <v>62</v>
      </c>
      <c r="D516" s="8" t="s">
        <v>57</v>
      </c>
      <c r="E516" s="8">
        <v>100</v>
      </c>
      <c r="F516" s="8">
        <v>10.7</v>
      </c>
      <c r="G516" s="8">
        <v>98</v>
      </c>
      <c r="H516" s="7">
        <f t="shared" si="24"/>
        <v>99.2</v>
      </c>
      <c r="I516" s="7" t="str">
        <f t="shared" si="25"/>
        <v>PASS</v>
      </c>
      <c r="J516" s="7" t="str">
        <f t="shared" si="26"/>
        <v>Low Risk</v>
      </c>
      <c r="L516" s="7" t="str">
        <f>IF(J516="High Risk",COUNTIF($J$3:J516,"High Risk"),"")</f>
        <v/>
      </c>
      <c r="M516" s="7">
        <f>RANK(H516,$H$3:$H$1002,0)+COUNTIF($H$3:H516,H516)-1</f>
        <v>17</v>
      </c>
    </row>
    <row r="517" spans="1:13" x14ac:dyDescent="0.35">
      <c r="A517" s="7" t="s">
        <v>1026</v>
      </c>
      <c r="B517" s="7" t="s">
        <v>1027</v>
      </c>
      <c r="C517" s="8" t="s">
        <v>62</v>
      </c>
      <c r="D517" s="8" t="s">
        <v>57</v>
      </c>
      <c r="E517" s="8">
        <v>81.900000000000006</v>
      </c>
      <c r="F517" s="8">
        <v>10.7</v>
      </c>
      <c r="G517" s="8">
        <v>73</v>
      </c>
      <c r="H517" s="7">
        <f t="shared" si="24"/>
        <v>83.8</v>
      </c>
      <c r="I517" s="7" t="str">
        <f t="shared" si="25"/>
        <v>PASS</v>
      </c>
      <c r="J517" s="7" t="str">
        <f t="shared" si="26"/>
        <v>Low Risk</v>
      </c>
      <c r="L517" s="7" t="str">
        <f>IF(J517="High Risk",COUNTIF($J$3:J517,"High Risk"),"")</f>
        <v/>
      </c>
      <c r="M517" s="7">
        <f>RANK(H517,$H$3:$H$1002,0)+COUNTIF($H$3:H517,H517)-1</f>
        <v>186</v>
      </c>
    </row>
    <row r="518" spans="1:13" x14ac:dyDescent="0.35">
      <c r="A518" s="7" t="s">
        <v>1028</v>
      </c>
      <c r="B518" s="7" t="s">
        <v>1029</v>
      </c>
      <c r="C518" s="8" t="s">
        <v>62</v>
      </c>
      <c r="D518" s="8" t="s">
        <v>68</v>
      </c>
      <c r="E518" s="8">
        <v>72.400000000000006</v>
      </c>
      <c r="F518" s="8">
        <v>4.5</v>
      </c>
      <c r="G518" s="8">
        <v>55</v>
      </c>
      <c r="H518" s="7">
        <f t="shared" si="24"/>
        <v>57.2</v>
      </c>
      <c r="I518" s="7" t="str">
        <f t="shared" si="25"/>
        <v>PASS</v>
      </c>
      <c r="J518" s="7" t="str">
        <f t="shared" si="26"/>
        <v>Medium Risk</v>
      </c>
      <c r="L518" s="7" t="str">
        <f>IF(J518="High Risk",COUNTIF($J$3:J518,"High Risk"),"")</f>
        <v/>
      </c>
      <c r="M518" s="7">
        <f>RANK(H518,$H$3:$H$1002,0)+COUNTIF($H$3:H518,H518)-1</f>
        <v>679</v>
      </c>
    </row>
    <row r="519" spans="1:13" x14ac:dyDescent="0.35">
      <c r="A519" s="7" t="s">
        <v>1030</v>
      </c>
      <c r="B519" s="7" t="s">
        <v>1031</v>
      </c>
      <c r="C519" s="8" t="s">
        <v>62</v>
      </c>
      <c r="D519" s="8" t="s">
        <v>68</v>
      </c>
      <c r="E519" s="8">
        <v>77.099999999999994</v>
      </c>
      <c r="F519" s="8">
        <v>6.1</v>
      </c>
      <c r="G519" s="8">
        <v>58</v>
      </c>
      <c r="H519" s="7">
        <f t="shared" si="24"/>
        <v>64.599999999999994</v>
      </c>
      <c r="I519" s="7" t="str">
        <f t="shared" si="25"/>
        <v>PASS</v>
      </c>
      <c r="J519" s="7" t="str">
        <f t="shared" si="26"/>
        <v>Medium Risk</v>
      </c>
      <c r="L519" s="7" t="str">
        <f>IF(J519="High Risk",COUNTIF($J$3:J519,"High Risk"),"")</f>
        <v/>
      </c>
      <c r="M519" s="7">
        <f>RANK(H519,$H$3:$H$1002,0)+COUNTIF($H$3:H519,H519)-1</f>
        <v>535</v>
      </c>
    </row>
    <row r="520" spans="1:13" x14ac:dyDescent="0.35">
      <c r="A520" s="7" t="s">
        <v>1032</v>
      </c>
      <c r="B520" s="7" t="s">
        <v>597</v>
      </c>
      <c r="C520" s="8" t="s">
        <v>62</v>
      </c>
      <c r="D520" s="8" t="s">
        <v>68</v>
      </c>
      <c r="E520" s="8">
        <v>57.8</v>
      </c>
      <c r="F520" s="8">
        <v>5.0999999999999996</v>
      </c>
      <c r="G520" s="8">
        <v>50</v>
      </c>
      <c r="H520" s="7">
        <f t="shared" si="24"/>
        <v>52.6</v>
      </c>
      <c r="I520" s="7" t="str">
        <f t="shared" si="25"/>
        <v>PASS</v>
      </c>
      <c r="J520" s="7" t="str">
        <f t="shared" si="26"/>
        <v>Medium Risk</v>
      </c>
      <c r="L520" s="7" t="str">
        <f>IF(J520="High Risk",COUNTIF($J$3:J520,"High Risk"),"")</f>
        <v/>
      </c>
      <c r="M520" s="7">
        <f>RANK(H520,$H$3:$H$1002,0)+COUNTIF($H$3:H520,H520)-1</f>
        <v>762</v>
      </c>
    </row>
    <row r="521" spans="1:13" x14ac:dyDescent="0.35">
      <c r="A521" s="7" t="s">
        <v>1033</v>
      </c>
      <c r="B521" s="7" t="s">
        <v>723</v>
      </c>
      <c r="C521" s="8" t="s">
        <v>56</v>
      </c>
      <c r="D521" s="8" t="s">
        <v>68</v>
      </c>
      <c r="E521" s="8">
        <v>77.2</v>
      </c>
      <c r="F521" s="8">
        <v>5.0999999999999996</v>
      </c>
      <c r="G521" s="8">
        <v>58</v>
      </c>
      <c r="H521" s="7">
        <f t="shared" si="24"/>
        <v>61.7</v>
      </c>
      <c r="I521" s="7" t="str">
        <f t="shared" si="25"/>
        <v>PASS</v>
      </c>
      <c r="J521" s="7" t="str">
        <f t="shared" si="26"/>
        <v>Medium Risk</v>
      </c>
      <c r="L521" s="7" t="str">
        <f>IF(J521="High Risk",COUNTIF($J$3:J521,"High Risk"),"")</f>
        <v/>
      </c>
      <c r="M521" s="7">
        <f>RANK(H521,$H$3:$H$1002,0)+COUNTIF($H$3:H521,H521)-1</f>
        <v>590</v>
      </c>
    </row>
    <row r="522" spans="1:13" x14ac:dyDescent="0.35">
      <c r="A522" s="7" t="s">
        <v>1034</v>
      </c>
      <c r="B522" s="7" t="s">
        <v>1035</v>
      </c>
      <c r="C522" s="8" t="s">
        <v>56</v>
      </c>
      <c r="D522" s="8" t="s">
        <v>57</v>
      </c>
      <c r="E522" s="8">
        <v>88.4</v>
      </c>
      <c r="F522" s="8">
        <v>7.9</v>
      </c>
      <c r="G522" s="8">
        <v>81</v>
      </c>
      <c r="H522" s="7">
        <f t="shared" si="24"/>
        <v>82.6</v>
      </c>
      <c r="I522" s="7" t="str">
        <f t="shared" si="25"/>
        <v>PASS</v>
      </c>
      <c r="J522" s="7" t="str">
        <f t="shared" si="26"/>
        <v>Low Risk</v>
      </c>
      <c r="L522" s="7" t="str">
        <f>IF(J522="High Risk",COUNTIF($J$3:J522,"High Risk"),"")</f>
        <v/>
      </c>
      <c r="M522" s="7">
        <f>RANK(H522,$H$3:$H$1002,0)+COUNTIF($H$3:H522,H522)-1</f>
        <v>207</v>
      </c>
    </row>
    <row r="523" spans="1:13" x14ac:dyDescent="0.35">
      <c r="A523" s="7" t="s">
        <v>1036</v>
      </c>
      <c r="B523" s="7" t="s">
        <v>1037</v>
      </c>
      <c r="C523" s="8" t="s">
        <v>62</v>
      </c>
      <c r="D523" s="8" t="s">
        <v>75</v>
      </c>
      <c r="E523" s="8">
        <v>78.099999999999994</v>
      </c>
      <c r="F523" s="8">
        <v>8.8000000000000007</v>
      </c>
      <c r="G523" s="8">
        <v>65</v>
      </c>
      <c r="H523" s="7">
        <f t="shared" si="24"/>
        <v>75.8</v>
      </c>
      <c r="I523" s="7" t="str">
        <f t="shared" si="25"/>
        <v>PASS</v>
      </c>
      <c r="J523" s="7" t="str">
        <f t="shared" si="26"/>
        <v>Low Risk</v>
      </c>
      <c r="L523" s="7" t="str">
        <f>IF(J523="High Risk",COUNTIF($J$3:J523,"High Risk"),"")</f>
        <v/>
      </c>
      <c r="M523" s="7">
        <f>RANK(H523,$H$3:$H$1002,0)+COUNTIF($H$3:H523,H523)-1</f>
        <v>311</v>
      </c>
    </row>
    <row r="524" spans="1:13" x14ac:dyDescent="0.35">
      <c r="A524" s="7" t="s">
        <v>1038</v>
      </c>
      <c r="B524" s="7" t="s">
        <v>671</v>
      </c>
      <c r="C524" s="8" t="s">
        <v>62</v>
      </c>
      <c r="D524" s="8" t="s">
        <v>63</v>
      </c>
      <c r="E524" s="8">
        <v>69.400000000000006</v>
      </c>
      <c r="F524" s="8">
        <v>2.7</v>
      </c>
      <c r="G524" s="8">
        <v>53</v>
      </c>
      <c r="H524" s="7">
        <f t="shared" si="24"/>
        <v>50.1</v>
      </c>
      <c r="I524" s="7" t="str">
        <f t="shared" si="25"/>
        <v>PASS</v>
      </c>
      <c r="J524" s="7" t="str">
        <f t="shared" si="26"/>
        <v>Medium Risk</v>
      </c>
      <c r="L524" s="7" t="str">
        <f>IF(J524="High Risk",COUNTIF($J$3:J524,"High Risk"),"")</f>
        <v/>
      </c>
      <c r="M524" s="7">
        <f>RANK(H524,$H$3:$H$1002,0)+COUNTIF($H$3:H524,H524)-1</f>
        <v>801</v>
      </c>
    </row>
    <row r="525" spans="1:13" x14ac:dyDescent="0.35">
      <c r="A525" s="7" t="s">
        <v>1039</v>
      </c>
      <c r="B525" s="7" t="s">
        <v>1040</v>
      </c>
      <c r="C525" s="8" t="s">
        <v>56</v>
      </c>
      <c r="D525" s="8" t="s">
        <v>68</v>
      </c>
      <c r="E525" s="8">
        <v>93.6</v>
      </c>
      <c r="F525" s="8">
        <v>6.3</v>
      </c>
      <c r="G525" s="8">
        <v>79</v>
      </c>
      <c r="H525" s="7">
        <f t="shared" si="24"/>
        <v>78.599999999999994</v>
      </c>
      <c r="I525" s="7" t="str">
        <f t="shared" si="25"/>
        <v>PASS</v>
      </c>
      <c r="J525" s="7" t="str">
        <f t="shared" si="26"/>
        <v>Low Risk</v>
      </c>
      <c r="L525" s="7" t="str">
        <f>IF(J525="High Risk",COUNTIF($J$3:J525,"High Risk"),"")</f>
        <v/>
      </c>
      <c r="M525" s="7">
        <f>RANK(H525,$H$3:$H$1002,0)+COUNTIF($H$3:H525,H525)-1</f>
        <v>269</v>
      </c>
    </row>
    <row r="526" spans="1:13" x14ac:dyDescent="0.35">
      <c r="A526" s="7" t="s">
        <v>1041</v>
      </c>
      <c r="B526" s="7" t="s">
        <v>79</v>
      </c>
      <c r="C526" s="8" t="s">
        <v>56</v>
      </c>
      <c r="D526" s="8" t="s">
        <v>75</v>
      </c>
      <c r="E526" s="8">
        <v>83.9</v>
      </c>
      <c r="F526" s="8">
        <v>2.8</v>
      </c>
      <c r="G526" s="8">
        <v>50</v>
      </c>
      <c r="H526" s="7">
        <f t="shared" si="24"/>
        <v>53.6</v>
      </c>
      <c r="I526" s="7" t="str">
        <f t="shared" si="25"/>
        <v>PASS</v>
      </c>
      <c r="J526" s="7" t="str">
        <f t="shared" si="26"/>
        <v>Medium Risk</v>
      </c>
      <c r="L526" s="7" t="str">
        <f>IF(J526="High Risk",COUNTIF($J$3:J526,"High Risk"),"")</f>
        <v/>
      </c>
      <c r="M526" s="7">
        <f>RANK(H526,$H$3:$H$1002,0)+COUNTIF($H$3:H526,H526)-1</f>
        <v>743</v>
      </c>
    </row>
    <row r="527" spans="1:13" x14ac:dyDescent="0.35">
      <c r="A527" s="7" t="s">
        <v>1042</v>
      </c>
      <c r="B527" s="7" t="s">
        <v>1043</v>
      </c>
      <c r="C527" s="8" t="s">
        <v>56</v>
      </c>
      <c r="D527" s="8" t="s">
        <v>75</v>
      </c>
      <c r="E527" s="8">
        <v>87.8</v>
      </c>
      <c r="F527" s="8">
        <v>7.4</v>
      </c>
      <c r="G527" s="8">
        <v>64</v>
      </c>
      <c r="H527" s="7">
        <f t="shared" si="24"/>
        <v>74.099999999999994</v>
      </c>
      <c r="I527" s="7" t="str">
        <f t="shared" si="25"/>
        <v>PASS</v>
      </c>
      <c r="J527" s="7" t="str">
        <f t="shared" si="26"/>
        <v>Low Risk</v>
      </c>
      <c r="L527" s="7" t="str">
        <f>IF(J527="High Risk",COUNTIF($J$3:J527,"High Risk"),"")</f>
        <v/>
      </c>
      <c r="M527" s="7">
        <f>RANK(H527,$H$3:$H$1002,0)+COUNTIF($H$3:H527,H527)-1</f>
        <v>338</v>
      </c>
    </row>
    <row r="528" spans="1:13" x14ac:dyDescent="0.35">
      <c r="A528" s="7" t="s">
        <v>1044</v>
      </c>
      <c r="B528" s="7" t="s">
        <v>1045</v>
      </c>
      <c r="C528" s="8" t="s">
        <v>56</v>
      </c>
      <c r="D528" s="8" t="s">
        <v>75</v>
      </c>
      <c r="E528" s="8">
        <v>96.5</v>
      </c>
      <c r="F528" s="8">
        <v>9.5</v>
      </c>
      <c r="G528" s="8">
        <v>100</v>
      </c>
      <c r="H528" s="7">
        <f t="shared" si="24"/>
        <v>97.5</v>
      </c>
      <c r="I528" s="7" t="str">
        <f t="shared" si="25"/>
        <v>PASS</v>
      </c>
      <c r="J528" s="7" t="str">
        <f t="shared" si="26"/>
        <v>Low Risk</v>
      </c>
      <c r="L528" s="7" t="str">
        <f>IF(J528="High Risk",COUNTIF($J$3:J528,"High Risk"),"")</f>
        <v/>
      </c>
      <c r="M528" s="7">
        <f>RANK(H528,$H$3:$H$1002,0)+COUNTIF($H$3:H528,H528)-1</f>
        <v>30</v>
      </c>
    </row>
    <row r="529" spans="1:13" x14ac:dyDescent="0.35">
      <c r="A529" s="7" t="s">
        <v>1046</v>
      </c>
      <c r="B529" s="7" t="s">
        <v>1047</v>
      </c>
      <c r="C529" s="8" t="s">
        <v>62</v>
      </c>
      <c r="D529" s="8" t="s">
        <v>75</v>
      </c>
      <c r="E529" s="8">
        <v>67.8</v>
      </c>
      <c r="F529" s="8">
        <v>4.3</v>
      </c>
      <c r="G529" s="8">
        <v>67</v>
      </c>
      <c r="H529" s="7">
        <f t="shared" si="24"/>
        <v>60</v>
      </c>
      <c r="I529" s="7" t="str">
        <f t="shared" si="25"/>
        <v>PASS</v>
      </c>
      <c r="J529" s="7" t="str">
        <f t="shared" si="26"/>
        <v>Medium Risk</v>
      </c>
      <c r="L529" s="7" t="str">
        <f>IF(J529="High Risk",COUNTIF($J$3:J529,"High Risk"),"")</f>
        <v/>
      </c>
      <c r="M529" s="7">
        <f>RANK(H529,$H$3:$H$1002,0)+COUNTIF($H$3:H529,H529)-1</f>
        <v>622</v>
      </c>
    </row>
    <row r="530" spans="1:13" x14ac:dyDescent="0.35">
      <c r="A530" s="7" t="s">
        <v>1048</v>
      </c>
      <c r="B530" s="7" t="s">
        <v>1049</v>
      </c>
      <c r="C530" s="8" t="s">
        <v>62</v>
      </c>
      <c r="D530" s="8" t="s">
        <v>57</v>
      </c>
      <c r="E530" s="8">
        <v>36.9</v>
      </c>
      <c r="F530" s="8">
        <v>2.2000000000000002</v>
      </c>
      <c r="G530" s="8">
        <v>44</v>
      </c>
      <c r="H530" s="7">
        <f t="shared" si="24"/>
        <v>35.299999999999997</v>
      </c>
      <c r="I530" s="7" t="str">
        <f t="shared" si="25"/>
        <v>FAIL</v>
      </c>
      <c r="J530" s="7" t="str">
        <f t="shared" si="26"/>
        <v>High Risk</v>
      </c>
      <c r="L530" s="7">
        <f>IF(J530="High Risk",COUNTIF($J$3:J530,"High Risk"),"")</f>
        <v>96</v>
      </c>
      <c r="M530" s="7">
        <f>RANK(H530,$H$3:$H$1002,0)+COUNTIF($H$3:H530,H530)-1</f>
        <v>942</v>
      </c>
    </row>
    <row r="531" spans="1:13" x14ac:dyDescent="0.35">
      <c r="A531" s="7" t="s">
        <v>1050</v>
      </c>
      <c r="B531" s="7" t="s">
        <v>1051</v>
      </c>
      <c r="C531" s="8" t="s">
        <v>56</v>
      </c>
      <c r="D531" s="8" t="s">
        <v>57</v>
      </c>
      <c r="E531" s="8">
        <v>63.8</v>
      </c>
      <c r="F531" s="8">
        <v>3.5</v>
      </c>
      <c r="G531" s="8">
        <v>46</v>
      </c>
      <c r="H531" s="7">
        <f t="shared" si="24"/>
        <v>48</v>
      </c>
      <c r="I531" s="7" t="str">
        <f t="shared" si="25"/>
        <v>FAIL</v>
      </c>
      <c r="J531" s="7" t="str">
        <f t="shared" si="26"/>
        <v>High Risk</v>
      </c>
      <c r="L531" s="7">
        <f>IF(J531="High Risk",COUNTIF($J$3:J531,"High Risk"),"")</f>
        <v>97</v>
      </c>
      <c r="M531" s="7">
        <f>RANK(H531,$H$3:$H$1002,0)+COUNTIF($H$3:H531,H531)-1</f>
        <v>825</v>
      </c>
    </row>
    <row r="532" spans="1:13" x14ac:dyDescent="0.35">
      <c r="A532" s="7" t="s">
        <v>1052</v>
      </c>
      <c r="B532" s="7" t="s">
        <v>1053</v>
      </c>
      <c r="C532" s="8" t="s">
        <v>56</v>
      </c>
      <c r="D532" s="8" t="s">
        <v>63</v>
      </c>
      <c r="E532" s="8">
        <v>98.6</v>
      </c>
      <c r="F532" s="8">
        <v>7.7</v>
      </c>
      <c r="G532" s="8">
        <v>77</v>
      </c>
      <c r="H532" s="7">
        <f t="shared" si="24"/>
        <v>83.5</v>
      </c>
      <c r="I532" s="7" t="str">
        <f t="shared" si="25"/>
        <v>PASS</v>
      </c>
      <c r="J532" s="7" t="str">
        <f t="shared" si="26"/>
        <v>Low Risk</v>
      </c>
      <c r="L532" s="7" t="str">
        <f>IF(J532="High Risk",COUNTIF($J$3:J532,"High Risk"),"")</f>
        <v/>
      </c>
      <c r="M532" s="7">
        <f>RANK(H532,$H$3:$H$1002,0)+COUNTIF($H$3:H532,H532)-1</f>
        <v>188</v>
      </c>
    </row>
    <row r="533" spans="1:13" x14ac:dyDescent="0.35">
      <c r="A533" s="7" t="s">
        <v>1054</v>
      </c>
      <c r="B533" s="7" t="s">
        <v>132</v>
      </c>
      <c r="C533" s="8" t="s">
        <v>56</v>
      </c>
      <c r="D533" s="8" t="s">
        <v>63</v>
      </c>
      <c r="E533" s="8">
        <v>81.400000000000006</v>
      </c>
      <c r="F533" s="8">
        <v>7.5</v>
      </c>
      <c r="G533" s="8">
        <v>75</v>
      </c>
      <c r="H533" s="7">
        <f t="shared" si="24"/>
        <v>76.900000000000006</v>
      </c>
      <c r="I533" s="7" t="str">
        <f t="shared" si="25"/>
        <v>PASS</v>
      </c>
      <c r="J533" s="7" t="str">
        <f t="shared" si="26"/>
        <v>Low Risk</v>
      </c>
      <c r="L533" s="7" t="str">
        <f>IF(J533="High Risk",COUNTIF($J$3:J533,"High Risk"),"")</f>
        <v/>
      </c>
      <c r="M533" s="7">
        <f>RANK(H533,$H$3:$H$1002,0)+COUNTIF($H$3:H533,H533)-1</f>
        <v>291</v>
      </c>
    </row>
    <row r="534" spans="1:13" x14ac:dyDescent="0.35">
      <c r="A534" s="7" t="s">
        <v>1055</v>
      </c>
      <c r="B534" s="7" t="s">
        <v>1056</v>
      </c>
      <c r="C534" s="8" t="s">
        <v>56</v>
      </c>
      <c r="D534" s="8" t="s">
        <v>57</v>
      </c>
      <c r="E534" s="8">
        <v>82.1</v>
      </c>
      <c r="F534" s="8">
        <v>4.5999999999999996</v>
      </c>
      <c r="G534" s="8">
        <v>59</v>
      </c>
      <c r="H534" s="7">
        <f t="shared" si="24"/>
        <v>62</v>
      </c>
      <c r="I534" s="7" t="str">
        <f t="shared" si="25"/>
        <v>PASS</v>
      </c>
      <c r="J534" s="7" t="str">
        <f t="shared" si="26"/>
        <v>Medium Risk</v>
      </c>
      <c r="L534" s="7" t="str">
        <f>IF(J534="High Risk",COUNTIF($J$3:J534,"High Risk"),"")</f>
        <v/>
      </c>
      <c r="M534" s="7">
        <f>RANK(H534,$H$3:$H$1002,0)+COUNTIF($H$3:H534,H534)-1</f>
        <v>583</v>
      </c>
    </row>
    <row r="535" spans="1:13" x14ac:dyDescent="0.35">
      <c r="A535" s="7" t="s">
        <v>1057</v>
      </c>
      <c r="B535" s="7" t="s">
        <v>1058</v>
      </c>
      <c r="C535" s="8" t="s">
        <v>56</v>
      </c>
      <c r="D535" s="8" t="s">
        <v>57</v>
      </c>
      <c r="E535" s="8">
        <v>99.4</v>
      </c>
      <c r="F535" s="8">
        <v>12.7</v>
      </c>
      <c r="G535" s="8">
        <v>93</v>
      </c>
      <c r="H535" s="7">
        <f t="shared" si="24"/>
        <v>97</v>
      </c>
      <c r="I535" s="7" t="str">
        <f t="shared" si="25"/>
        <v>PASS</v>
      </c>
      <c r="J535" s="7" t="str">
        <f t="shared" si="26"/>
        <v>Low Risk</v>
      </c>
      <c r="L535" s="7" t="str">
        <f>IF(J535="High Risk",COUNTIF($J$3:J535,"High Risk"),"")</f>
        <v/>
      </c>
      <c r="M535" s="7">
        <f>RANK(H535,$H$3:$H$1002,0)+COUNTIF($H$3:H535,H535)-1</f>
        <v>38</v>
      </c>
    </row>
    <row r="536" spans="1:13" x14ac:dyDescent="0.35">
      <c r="A536" s="7" t="s">
        <v>1059</v>
      </c>
      <c r="B536" s="7" t="s">
        <v>1060</v>
      </c>
      <c r="C536" s="8" t="s">
        <v>56</v>
      </c>
      <c r="D536" s="8" t="s">
        <v>57</v>
      </c>
      <c r="E536" s="8">
        <v>79.7</v>
      </c>
      <c r="F536" s="8">
        <v>7.4</v>
      </c>
      <c r="G536" s="8">
        <v>66</v>
      </c>
      <c r="H536" s="7">
        <f t="shared" si="24"/>
        <v>72.5</v>
      </c>
      <c r="I536" s="7" t="str">
        <f t="shared" si="25"/>
        <v>PASS</v>
      </c>
      <c r="J536" s="7" t="str">
        <f t="shared" si="26"/>
        <v>Low Risk</v>
      </c>
      <c r="L536" s="7" t="str">
        <f>IF(J536="High Risk",COUNTIF($J$3:J536,"High Risk"),"")</f>
        <v/>
      </c>
      <c r="M536" s="7">
        <f>RANK(H536,$H$3:$H$1002,0)+COUNTIF($H$3:H536,H536)-1</f>
        <v>372</v>
      </c>
    </row>
    <row r="537" spans="1:13" x14ac:dyDescent="0.35">
      <c r="A537" s="7" t="s">
        <v>1061</v>
      </c>
      <c r="B537" s="7" t="s">
        <v>1062</v>
      </c>
      <c r="C537" s="8" t="s">
        <v>56</v>
      </c>
      <c r="D537" s="8" t="s">
        <v>68</v>
      </c>
      <c r="E537" s="8">
        <v>64.599999999999994</v>
      </c>
      <c r="F537" s="8">
        <v>3.6</v>
      </c>
      <c r="G537" s="8">
        <v>45</v>
      </c>
      <c r="H537" s="7">
        <f t="shared" si="24"/>
        <v>48.2</v>
      </c>
      <c r="I537" s="7" t="str">
        <f t="shared" si="25"/>
        <v>FAIL</v>
      </c>
      <c r="J537" s="7" t="str">
        <f t="shared" si="26"/>
        <v>High Risk</v>
      </c>
      <c r="L537" s="7">
        <f>IF(J537="High Risk",COUNTIF($J$3:J537,"High Risk"),"")</f>
        <v>98</v>
      </c>
      <c r="M537" s="7">
        <f>RANK(H537,$H$3:$H$1002,0)+COUNTIF($H$3:H537,H537)-1</f>
        <v>823</v>
      </c>
    </row>
    <row r="538" spans="1:13" x14ac:dyDescent="0.35">
      <c r="A538" s="7" t="s">
        <v>1063</v>
      </c>
      <c r="B538" s="7" t="s">
        <v>1064</v>
      </c>
      <c r="C538" s="8" t="s">
        <v>56</v>
      </c>
      <c r="D538" s="8" t="s">
        <v>75</v>
      </c>
      <c r="E538" s="8">
        <v>70.900000000000006</v>
      </c>
      <c r="F538" s="8">
        <v>7.9</v>
      </c>
      <c r="G538" s="8">
        <v>70</v>
      </c>
      <c r="H538" s="7">
        <f t="shared" si="24"/>
        <v>73</v>
      </c>
      <c r="I538" s="7" t="str">
        <f t="shared" si="25"/>
        <v>PASS</v>
      </c>
      <c r="J538" s="7" t="str">
        <f t="shared" si="26"/>
        <v>Low Risk</v>
      </c>
      <c r="L538" s="7" t="str">
        <f>IF(J538="High Risk",COUNTIF($J$3:J538,"High Risk"),"")</f>
        <v/>
      </c>
      <c r="M538" s="7">
        <f>RANK(H538,$H$3:$H$1002,0)+COUNTIF($H$3:H538,H538)-1</f>
        <v>363</v>
      </c>
    </row>
    <row r="539" spans="1:13" x14ac:dyDescent="0.35">
      <c r="A539" s="7" t="s">
        <v>1065</v>
      </c>
      <c r="B539" s="7" t="s">
        <v>1066</v>
      </c>
      <c r="C539" s="8" t="s">
        <v>62</v>
      </c>
      <c r="D539" s="8" t="s">
        <v>68</v>
      </c>
      <c r="E539" s="8">
        <v>79.599999999999994</v>
      </c>
      <c r="F539" s="8">
        <v>4.8</v>
      </c>
      <c r="G539" s="8">
        <v>65</v>
      </c>
      <c r="H539" s="7">
        <f t="shared" si="24"/>
        <v>64.3</v>
      </c>
      <c r="I539" s="7" t="str">
        <f t="shared" si="25"/>
        <v>PASS</v>
      </c>
      <c r="J539" s="7" t="str">
        <f t="shared" si="26"/>
        <v>Medium Risk</v>
      </c>
      <c r="L539" s="7" t="str">
        <f>IF(J539="High Risk",COUNTIF($J$3:J539,"High Risk"),"")</f>
        <v/>
      </c>
      <c r="M539" s="7">
        <f>RANK(H539,$H$3:$H$1002,0)+COUNTIF($H$3:H539,H539)-1</f>
        <v>541</v>
      </c>
    </row>
    <row r="540" spans="1:13" x14ac:dyDescent="0.35">
      <c r="A540" s="7" t="s">
        <v>1067</v>
      </c>
      <c r="B540" s="7" t="s">
        <v>1068</v>
      </c>
      <c r="C540" s="8" t="s">
        <v>56</v>
      </c>
      <c r="D540" s="8" t="s">
        <v>63</v>
      </c>
      <c r="E540" s="8">
        <v>82.1</v>
      </c>
      <c r="F540" s="8">
        <v>5.7</v>
      </c>
      <c r="G540" s="8">
        <v>82</v>
      </c>
      <c r="H540" s="7">
        <f t="shared" si="24"/>
        <v>74.5</v>
      </c>
      <c r="I540" s="7" t="str">
        <f t="shared" si="25"/>
        <v>PASS</v>
      </c>
      <c r="J540" s="7" t="str">
        <f t="shared" si="26"/>
        <v>Low Risk</v>
      </c>
      <c r="L540" s="7" t="str">
        <f>IF(J540="High Risk",COUNTIF($J$3:J540,"High Risk"),"")</f>
        <v/>
      </c>
      <c r="M540" s="7">
        <f>RANK(H540,$H$3:$H$1002,0)+COUNTIF($H$3:H540,H540)-1</f>
        <v>331</v>
      </c>
    </row>
    <row r="541" spans="1:13" x14ac:dyDescent="0.35">
      <c r="A541" s="7" t="s">
        <v>1069</v>
      </c>
      <c r="B541" s="7" t="s">
        <v>306</v>
      </c>
      <c r="C541" s="8" t="s">
        <v>56</v>
      </c>
      <c r="D541" s="8" t="s">
        <v>57</v>
      </c>
      <c r="E541" s="8">
        <v>75.5</v>
      </c>
      <c r="F541" s="8">
        <v>8.1999999999999993</v>
      </c>
      <c r="G541" s="8">
        <v>81</v>
      </c>
      <c r="H541" s="7">
        <f t="shared" si="24"/>
        <v>79.7</v>
      </c>
      <c r="I541" s="7" t="str">
        <f t="shared" si="25"/>
        <v>PASS</v>
      </c>
      <c r="J541" s="7" t="str">
        <f t="shared" si="26"/>
        <v>Low Risk</v>
      </c>
      <c r="L541" s="7" t="str">
        <f>IF(J541="High Risk",COUNTIF($J$3:J541,"High Risk"),"")</f>
        <v/>
      </c>
      <c r="M541" s="7">
        <f>RANK(H541,$H$3:$H$1002,0)+COUNTIF($H$3:H541,H541)-1</f>
        <v>252</v>
      </c>
    </row>
    <row r="542" spans="1:13" x14ac:dyDescent="0.35">
      <c r="A542" s="7" t="s">
        <v>1070</v>
      </c>
      <c r="B542" s="7" t="s">
        <v>1071</v>
      </c>
      <c r="C542" s="8" t="s">
        <v>56</v>
      </c>
      <c r="D542" s="8" t="s">
        <v>68</v>
      </c>
      <c r="E542" s="8">
        <v>91.4</v>
      </c>
      <c r="F542" s="8">
        <v>7.4</v>
      </c>
      <c r="G542" s="8">
        <v>80</v>
      </c>
      <c r="H542" s="7">
        <f t="shared" si="24"/>
        <v>81.599999999999994</v>
      </c>
      <c r="I542" s="7" t="str">
        <f t="shared" si="25"/>
        <v>PASS</v>
      </c>
      <c r="J542" s="7" t="str">
        <f t="shared" si="26"/>
        <v>Low Risk</v>
      </c>
      <c r="L542" s="7" t="str">
        <f>IF(J542="High Risk",COUNTIF($J$3:J542,"High Risk"),"")</f>
        <v/>
      </c>
      <c r="M542" s="7">
        <f>RANK(H542,$H$3:$H$1002,0)+COUNTIF($H$3:H542,H542)-1</f>
        <v>224</v>
      </c>
    </row>
    <row r="543" spans="1:13" x14ac:dyDescent="0.35">
      <c r="A543" s="7" t="s">
        <v>1072</v>
      </c>
      <c r="B543" s="7" t="s">
        <v>138</v>
      </c>
      <c r="C543" s="8" t="s">
        <v>56</v>
      </c>
      <c r="D543" s="8" t="s">
        <v>57</v>
      </c>
      <c r="E543" s="8">
        <v>33.200000000000003</v>
      </c>
      <c r="F543" s="8">
        <v>0</v>
      </c>
      <c r="G543" s="8">
        <v>41</v>
      </c>
      <c r="H543" s="7">
        <f t="shared" si="24"/>
        <v>26.4</v>
      </c>
      <c r="I543" s="7" t="str">
        <f t="shared" si="25"/>
        <v>FAIL</v>
      </c>
      <c r="J543" s="7" t="str">
        <f t="shared" si="26"/>
        <v>High Risk</v>
      </c>
      <c r="L543" s="7">
        <f>IF(J543="High Risk",COUNTIF($J$3:J543,"High Risk"),"")</f>
        <v>99</v>
      </c>
      <c r="M543" s="7">
        <f>RANK(H543,$H$3:$H$1002,0)+COUNTIF($H$3:H543,H543)-1</f>
        <v>980</v>
      </c>
    </row>
    <row r="544" spans="1:13" x14ac:dyDescent="0.35">
      <c r="A544" s="7" t="s">
        <v>1073</v>
      </c>
      <c r="B544" s="7" t="s">
        <v>1074</v>
      </c>
      <c r="C544" s="8" t="s">
        <v>56</v>
      </c>
      <c r="D544" s="8" t="s">
        <v>63</v>
      </c>
      <c r="E544" s="8">
        <v>81.5</v>
      </c>
      <c r="F544" s="8">
        <v>5.4</v>
      </c>
      <c r="G544" s="8">
        <v>79</v>
      </c>
      <c r="H544" s="7">
        <f t="shared" si="24"/>
        <v>72.3</v>
      </c>
      <c r="I544" s="7" t="str">
        <f t="shared" si="25"/>
        <v>PASS</v>
      </c>
      <c r="J544" s="7" t="str">
        <f t="shared" si="26"/>
        <v>Low Risk</v>
      </c>
      <c r="L544" s="7" t="str">
        <f>IF(J544="High Risk",COUNTIF($J$3:J544,"High Risk"),"")</f>
        <v/>
      </c>
      <c r="M544" s="7">
        <f>RANK(H544,$H$3:$H$1002,0)+COUNTIF($H$3:H544,H544)-1</f>
        <v>376</v>
      </c>
    </row>
    <row r="545" spans="1:13" x14ac:dyDescent="0.35">
      <c r="A545" s="7" t="s">
        <v>1075</v>
      </c>
      <c r="B545" s="7" t="s">
        <v>1076</v>
      </c>
      <c r="C545" s="8" t="s">
        <v>62</v>
      </c>
      <c r="D545" s="8" t="s">
        <v>57</v>
      </c>
      <c r="E545" s="8">
        <v>44.2</v>
      </c>
      <c r="F545" s="8">
        <v>2.9</v>
      </c>
      <c r="G545" s="8">
        <v>39</v>
      </c>
      <c r="H545" s="7">
        <f t="shared" si="24"/>
        <v>37.6</v>
      </c>
      <c r="I545" s="7" t="str">
        <f t="shared" si="25"/>
        <v>FAIL</v>
      </c>
      <c r="J545" s="7" t="str">
        <f t="shared" si="26"/>
        <v>High Risk</v>
      </c>
      <c r="L545" s="7">
        <f>IF(J545="High Risk",COUNTIF($J$3:J545,"High Risk"),"")</f>
        <v>100</v>
      </c>
      <c r="M545" s="7">
        <f>RANK(H545,$H$3:$H$1002,0)+COUNTIF($H$3:H545,H545)-1</f>
        <v>926</v>
      </c>
    </row>
    <row r="546" spans="1:13" x14ac:dyDescent="0.35">
      <c r="A546" s="7" t="s">
        <v>1077</v>
      </c>
      <c r="B546" s="7" t="s">
        <v>1078</v>
      </c>
      <c r="C546" s="8" t="s">
        <v>62</v>
      </c>
      <c r="D546" s="8" t="s">
        <v>57</v>
      </c>
      <c r="E546" s="8">
        <v>65.400000000000006</v>
      </c>
      <c r="F546" s="8">
        <v>6.3</v>
      </c>
      <c r="G546" s="8">
        <v>61</v>
      </c>
      <c r="H546" s="7">
        <f t="shared" si="24"/>
        <v>62.9</v>
      </c>
      <c r="I546" s="7" t="str">
        <f t="shared" si="25"/>
        <v>PASS</v>
      </c>
      <c r="J546" s="7" t="str">
        <f t="shared" si="26"/>
        <v>Medium Risk</v>
      </c>
      <c r="L546" s="7" t="str">
        <f>IF(J546="High Risk",COUNTIF($J$3:J546,"High Risk"),"")</f>
        <v/>
      </c>
      <c r="M546" s="7">
        <f>RANK(H546,$H$3:$H$1002,0)+COUNTIF($H$3:H546,H546)-1</f>
        <v>563</v>
      </c>
    </row>
    <row r="547" spans="1:13" x14ac:dyDescent="0.35">
      <c r="A547" s="7" t="s">
        <v>1079</v>
      </c>
      <c r="B547" s="7" t="s">
        <v>1080</v>
      </c>
      <c r="C547" s="8" t="s">
        <v>62</v>
      </c>
      <c r="D547" s="8" t="s">
        <v>75</v>
      </c>
      <c r="E547" s="8">
        <v>72.2</v>
      </c>
      <c r="F547" s="8">
        <v>3.6</v>
      </c>
      <c r="G547" s="8">
        <v>56</v>
      </c>
      <c r="H547" s="7">
        <f t="shared" si="24"/>
        <v>54.9</v>
      </c>
      <c r="I547" s="7" t="str">
        <f t="shared" si="25"/>
        <v>PASS</v>
      </c>
      <c r="J547" s="7" t="str">
        <f t="shared" si="26"/>
        <v>Medium Risk</v>
      </c>
      <c r="L547" s="7" t="str">
        <f>IF(J547="High Risk",COUNTIF($J$3:J547,"High Risk"),"")</f>
        <v/>
      </c>
      <c r="M547" s="7">
        <f>RANK(H547,$H$3:$H$1002,0)+COUNTIF($H$3:H547,H547)-1</f>
        <v>716</v>
      </c>
    </row>
    <row r="548" spans="1:13" x14ac:dyDescent="0.35">
      <c r="A548" s="7" t="s">
        <v>1081</v>
      </c>
      <c r="B548" s="7" t="s">
        <v>1082</v>
      </c>
      <c r="C548" s="8" t="s">
        <v>56</v>
      </c>
      <c r="D548" s="8" t="s">
        <v>68</v>
      </c>
      <c r="E548" s="8">
        <v>94.6</v>
      </c>
      <c r="F548" s="8">
        <v>7.7</v>
      </c>
      <c r="G548" s="8">
        <v>91</v>
      </c>
      <c r="H548" s="7">
        <f t="shared" si="24"/>
        <v>87.9</v>
      </c>
      <c r="I548" s="7" t="str">
        <f t="shared" si="25"/>
        <v>PASS</v>
      </c>
      <c r="J548" s="7" t="str">
        <f t="shared" si="26"/>
        <v>Low Risk</v>
      </c>
      <c r="L548" s="7" t="str">
        <f>IF(J548="High Risk",COUNTIF($J$3:J548,"High Risk"),"")</f>
        <v/>
      </c>
      <c r="M548" s="7">
        <f>RANK(H548,$H$3:$H$1002,0)+COUNTIF($H$3:H548,H548)-1</f>
        <v>126</v>
      </c>
    </row>
    <row r="549" spans="1:13" x14ac:dyDescent="0.35">
      <c r="A549" s="7" t="s">
        <v>1083</v>
      </c>
      <c r="B549" s="7" t="s">
        <v>1084</v>
      </c>
      <c r="C549" s="8" t="s">
        <v>56</v>
      </c>
      <c r="D549" s="8" t="s">
        <v>68</v>
      </c>
      <c r="E549" s="8">
        <v>78.3</v>
      </c>
      <c r="F549" s="8">
        <v>9</v>
      </c>
      <c r="G549" s="8">
        <v>69</v>
      </c>
      <c r="H549" s="7">
        <f t="shared" si="24"/>
        <v>78.099999999999994</v>
      </c>
      <c r="I549" s="7" t="str">
        <f t="shared" si="25"/>
        <v>PASS</v>
      </c>
      <c r="J549" s="7" t="str">
        <f t="shared" si="26"/>
        <v>Low Risk</v>
      </c>
      <c r="L549" s="7" t="str">
        <f>IF(J549="High Risk",COUNTIF($J$3:J549,"High Risk"),"")</f>
        <v/>
      </c>
      <c r="M549" s="7">
        <f>RANK(H549,$H$3:$H$1002,0)+COUNTIF($H$3:H549,H549)-1</f>
        <v>277</v>
      </c>
    </row>
    <row r="550" spans="1:13" x14ac:dyDescent="0.35">
      <c r="A550" s="7" t="s">
        <v>1085</v>
      </c>
      <c r="B550" s="7" t="s">
        <v>1086</v>
      </c>
      <c r="C550" s="8" t="s">
        <v>56</v>
      </c>
      <c r="D550" s="8" t="s">
        <v>63</v>
      </c>
      <c r="E550" s="8">
        <v>30</v>
      </c>
      <c r="F550" s="8">
        <v>0</v>
      </c>
      <c r="G550" s="8">
        <v>20</v>
      </c>
      <c r="H550" s="7">
        <f t="shared" si="24"/>
        <v>17</v>
      </c>
      <c r="I550" s="7" t="str">
        <f t="shared" si="25"/>
        <v>FAIL</v>
      </c>
      <c r="J550" s="7" t="str">
        <f t="shared" si="26"/>
        <v>High Risk</v>
      </c>
      <c r="L550" s="7">
        <f>IF(J550="High Risk",COUNTIF($J$3:J550,"High Risk"),"")</f>
        <v>101</v>
      </c>
      <c r="M550" s="7">
        <f>RANK(H550,$H$3:$H$1002,0)+COUNTIF($H$3:H550,H550)-1</f>
        <v>999</v>
      </c>
    </row>
    <row r="551" spans="1:13" x14ac:dyDescent="0.35">
      <c r="A551" s="7" t="s">
        <v>1087</v>
      </c>
      <c r="B551" s="7" t="s">
        <v>1088</v>
      </c>
      <c r="C551" s="8" t="s">
        <v>62</v>
      </c>
      <c r="D551" s="8" t="s">
        <v>68</v>
      </c>
      <c r="E551" s="8">
        <v>41.6</v>
      </c>
      <c r="F551" s="8">
        <v>3.2</v>
      </c>
      <c r="G551" s="8">
        <v>46</v>
      </c>
      <c r="H551" s="7">
        <f t="shared" si="24"/>
        <v>40.5</v>
      </c>
      <c r="I551" s="7" t="str">
        <f t="shared" si="25"/>
        <v>FAIL</v>
      </c>
      <c r="J551" s="7" t="str">
        <f t="shared" si="26"/>
        <v>High Risk</v>
      </c>
      <c r="L551" s="7">
        <f>IF(J551="High Risk",COUNTIF($J$3:J551,"High Risk"),"")</f>
        <v>102</v>
      </c>
      <c r="M551" s="7">
        <f>RANK(H551,$H$3:$H$1002,0)+COUNTIF($H$3:H551,H551)-1</f>
        <v>897</v>
      </c>
    </row>
    <row r="552" spans="1:13" x14ac:dyDescent="0.35">
      <c r="A552" s="7" t="s">
        <v>1089</v>
      </c>
      <c r="B552" s="7" t="s">
        <v>1090</v>
      </c>
      <c r="C552" s="8" t="s">
        <v>56</v>
      </c>
      <c r="D552" s="8" t="s">
        <v>75</v>
      </c>
      <c r="E552" s="8">
        <v>46.6</v>
      </c>
      <c r="F552" s="8">
        <v>4.3</v>
      </c>
      <c r="G552" s="8">
        <v>41</v>
      </c>
      <c r="H552" s="7">
        <f t="shared" si="24"/>
        <v>43.3</v>
      </c>
      <c r="I552" s="7" t="str">
        <f t="shared" si="25"/>
        <v>FAIL</v>
      </c>
      <c r="J552" s="7" t="str">
        <f t="shared" si="26"/>
        <v>High Risk</v>
      </c>
      <c r="L552" s="7">
        <f>IF(J552="High Risk",COUNTIF($J$3:J552,"High Risk"),"")</f>
        <v>103</v>
      </c>
      <c r="M552" s="7">
        <f>RANK(H552,$H$3:$H$1002,0)+COUNTIF($H$3:H552,H552)-1</f>
        <v>871</v>
      </c>
    </row>
    <row r="553" spans="1:13" x14ac:dyDescent="0.35">
      <c r="A553" s="7" t="s">
        <v>1091</v>
      </c>
      <c r="B553" s="7" t="s">
        <v>1092</v>
      </c>
      <c r="C553" s="8" t="s">
        <v>56</v>
      </c>
      <c r="D553" s="8" t="s">
        <v>57</v>
      </c>
      <c r="E553" s="8">
        <v>94.2</v>
      </c>
      <c r="F553" s="8">
        <v>4.4000000000000004</v>
      </c>
      <c r="G553" s="8">
        <v>70</v>
      </c>
      <c r="H553" s="7">
        <f t="shared" si="24"/>
        <v>69.5</v>
      </c>
      <c r="I553" s="7" t="str">
        <f t="shared" si="25"/>
        <v>PASS</v>
      </c>
      <c r="J553" s="7" t="str">
        <f t="shared" si="26"/>
        <v>Low Risk</v>
      </c>
      <c r="L553" s="7" t="str">
        <f>IF(J553="High Risk",COUNTIF($J$3:J553,"High Risk"),"")</f>
        <v/>
      </c>
      <c r="M553" s="7">
        <f>RANK(H553,$H$3:$H$1002,0)+COUNTIF($H$3:H553,H553)-1</f>
        <v>441</v>
      </c>
    </row>
    <row r="554" spans="1:13" x14ac:dyDescent="0.35">
      <c r="A554" s="7" t="s">
        <v>1093</v>
      </c>
      <c r="B554" s="7" t="s">
        <v>1094</v>
      </c>
      <c r="C554" s="8" t="s">
        <v>56</v>
      </c>
      <c r="D554" s="8" t="s">
        <v>75</v>
      </c>
      <c r="E554" s="8">
        <v>72.7</v>
      </c>
      <c r="F554" s="8">
        <v>4.2</v>
      </c>
      <c r="G554" s="8">
        <v>59</v>
      </c>
      <c r="H554" s="7">
        <f t="shared" si="24"/>
        <v>58</v>
      </c>
      <c r="I554" s="7" t="str">
        <f t="shared" si="25"/>
        <v>PASS</v>
      </c>
      <c r="J554" s="7" t="str">
        <f t="shared" si="26"/>
        <v>Medium Risk</v>
      </c>
      <c r="L554" s="7" t="str">
        <f>IF(J554="High Risk",COUNTIF($J$3:J554,"High Risk"),"")</f>
        <v/>
      </c>
      <c r="M554" s="7">
        <f>RANK(H554,$H$3:$H$1002,0)+COUNTIF($H$3:H554,H554)-1</f>
        <v>661</v>
      </c>
    </row>
    <row r="555" spans="1:13" x14ac:dyDescent="0.35">
      <c r="A555" s="7" t="s">
        <v>1095</v>
      </c>
      <c r="B555" s="7" t="s">
        <v>1096</v>
      </c>
      <c r="C555" s="8" t="s">
        <v>62</v>
      </c>
      <c r="D555" s="8" t="s">
        <v>63</v>
      </c>
      <c r="E555" s="8">
        <v>47</v>
      </c>
      <c r="F555" s="8">
        <v>0</v>
      </c>
      <c r="G555" s="8">
        <v>49</v>
      </c>
      <c r="H555" s="7">
        <f t="shared" si="24"/>
        <v>33.700000000000003</v>
      </c>
      <c r="I555" s="7" t="str">
        <f t="shared" si="25"/>
        <v>FAIL</v>
      </c>
      <c r="J555" s="7" t="str">
        <f t="shared" si="26"/>
        <v>High Risk</v>
      </c>
      <c r="L555" s="7">
        <f>IF(J555="High Risk",COUNTIF($J$3:J555,"High Risk"),"")</f>
        <v>104</v>
      </c>
      <c r="M555" s="7">
        <f>RANK(H555,$H$3:$H$1002,0)+COUNTIF($H$3:H555,H555)-1</f>
        <v>949</v>
      </c>
    </row>
    <row r="556" spans="1:13" x14ac:dyDescent="0.35">
      <c r="A556" s="7" t="s">
        <v>1097</v>
      </c>
      <c r="B556" s="7" t="s">
        <v>116</v>
      </c>
      <c r="C556" s="8" t="s">
        <v>56</v>
      </c>
      <c r="D556" s="8" t="s">
        <v>75</v>
      </c>
      <c r="E556" s="8">
        <v>60.5</v>
      </c>
      <c r="F556" s="8">
        <v>6.8</v>
      </c>
      <c r="G556" s="8">
        <v>48</v>
      </c>
      <c r="H556" s="7">
        <f t="shared" si="24"/>
        <v>57.8</v>
      </c>
      <c r="I556" s="7" t="str">
        <f t="shared" si="25"/>
        <v>PASS</v>
      </c>
      <c r="J556" s="7" t="str">
        <f t="shared" si="26"/>
        <v>Medium Risk</v>
      </c>
      <c r="L556" s="7" t="str">
        <f>IF(J556="High Risk",COUNTIF($J$3:J556,"High Risk"),"")</f>
        <v/>
      </c>
      <c r="M556" s="7">
        <f>RANK(H556,$H$3:$H$1002,0)+COUNTIF($H$3:H556,H556)-1</f>
        <v>665</v>
      </c>
    </row>
    <row r="557" spans="1:13" x14ac:dyDescent="0.35">
      <c r="A557" s="7" t="s">
        <v>1098</v>
      </c>
      <c r="B557" s="7" t="s">
        <v>1099</v>
      </c>
      <c r="C557" s="8" t="s">
        <v>62</v>
      </c>
      <c r="D557" s="8" t="s">
        <v>63</v>
      </c>
      <c r="E557" s="8">
        <v>70</v>
      </c>
      <c r="F557" s="8">
        <v>1</v>
      </c>
      <c r="G557" s="8">
        <v>47</v>
      </c>
      <c r="H557" s="7">
        <f t="shared" si="24"/>
        <v>42.8</v>
      </c>
      <c r="I557" s="7" t="str">
        <f t="shared" si="25"/>
        <v>FAIL</v>
      </c>
      <c r="J557" s="7" t="str">
        <f t="shared" si="26"/>
        <v>High Risk</v>
      </c>
      <c r="L557" s="7">
        <f>IF(J557="High Risk",COUNTIF($J$3:J557,"High Risk"),"")</f>
        <v>105</v>
      </c>
      <c r="M557" s="7">
        <f>RANK(H557,$H$3:$H$1002,0)+COUNTIF($H$3:H557,H557)-1</f>
        <v>875</v>
      </c>
    </row>
    <row r="558" spans="1:13" x14ac:dyDescent="0.35">
      <c r="A558" s="7" t="s">
        <v>1100</v>
      </c>
      <c r="B558" s="7" t="s">
        <v>1101</v>
      </c>
      <c r="C558" s="8" t="s">
        <v>56</v>
      </c>
      <c r="D558" s="8" t="s">
        <v>75</v>
      </c>
      <c r="E558" s="8">
        <v>84.8</v>
      </c>
      <c r="F558" s="8">
        <v>6.3</v>
      </c>
      <c r="G558" s="8">
        <v>91</v>
      </c>
      <c r="H558" s="7">
        <f t="shared" si="24"/>
        <v>80.7</v>
      </c>
      <c r="I558" s="7" t="str">
        <f t="shared" si="25"/>
        <v>PASS</v>
      </c>
      <c r="J558" s="7" t="str">
        <f t="shared" si="26"/>
        <v>Low Risk</v>
      </c>
      <c r="L558" s="7" t="str">
        <f>IF(J558="High Risk",COUNTIF($J$3:J558,"High Risk"),"")</f>
        <v/>
      </c>
      <c r="M558" s="7">
        <f>RANK(H558,$H$3:$H$1002,0)+COUNTIF($H$3:H558,H558)-1</f>
        <v>235</v>
      </c>
    </row>
    <row r="559" spans="1:13" x14ac:dyDescent="0.35">
      <c r="A559" s="7" t="s">
        <v>1102</v>
      </c>
      <c r="B559" s="7" t="s">
        <v>1103</v>
      </c>
      <c r="C559" s="8" t="s">
        <v>62</v>
      </c>
      <c r="D559" s="8" t="s">
        <v>68</v>
      </c>
      <c r="E559" s="8">
        <v>100</v>
      </c>
      <c r="F559" s="8">
        <v>10</v>
      </c>
      <c r="G559" s="8">
        <v>98</v>
      </c>
      <c r="H559" s="7">
        <f t="shared" si="24"/>
        <v>99.2</v>
      </c>
      <c r="I559" s="7" t="str">
        <f t="shared" si="25"/>
        <v>PASS</v>
      </c>
      <c r="J559" s="7" t="str">
        <f t="shared" si="26"/>
        <v>Low Risk</v>
      </c>
      <c r="L559" s="7" t="str">
        <f>IF(J559="High Risk",COUNTIF($J$3:J559,"High Risk"),"")</f>
        <v/>
      </c>
      <c r="M559" s="7">
        <f>RANK(H559,$H$3:$H$1002,0)+COUNTIF($H$3:H559,H559)-1</f>
        <v>18</v>
      </c>
    </row>
    <row r="560" spans="1:13" x14ac:dyDescent="0.35">
      <c r="A560" s="7" t="s">
        <v>1104</v>
      </c>
      <c r="B560" s="7" t="s">
        <v>1105</v>
      </c>
      <c r="C560" s="8" t="s">
        <v>62</v>
      </c>
      <c r="D560" s="8" t="s">
        <v>57</v>
      </c>
      <c r="E560" s="8">
        <v>69.2</v>
      </c>
      <c r="F560" s="8">
        <v>4.4000000000000004</v>
      </c>
      <c r="G560" s="8">
        <v>53</v>
      </c>
      <c r="H560" s="7">
        <f t="shared" si="24"/>
        <v>55.2</v>
      </c>
      <c r="I560" s="7" t="str">
        <f t="shared" si="25"/>
        <v>PASS</v>
      </c>
      <c r="J560" s="7" t="str">
        <f t="shared" si="26"/>
        <v>Medium Risk</v>
      </c>
      <c r="L560" s="7" t="str">
        <f>IF(J560="High Risk",COUNTIF($J$3:J560,"High Risk"),"")</f>
        <v/>
      </c>
      <c r="M560" s="7">
        <f>RANK(H560,$H$3:$H$1002,0)+COUNTIF($H$3:H560,H560)-1</f>
        <v>710</v>
      </c>
    </row>
    <row r="561" spans="1:13" x14ac:dyDescent="0.35">
      <c r="A561" s="7" t="s">
        <v>1106</v>
      </c>
      <c r="B561" s="7" t="s">
        <v>1107</v>
      </c>
      <c r="C561" s="8" t="s">
        <v>62</v>
      </c>
      <c r="D561" s="8" t="s">
        <v>75</v>
      </c>
      <c r="E561" s="8">
        <v>65.5</v>
      </c>
      <c r="F561" s="8">
        <v>6.1</v>
      </c>
      <c r="G561" s="8">
        <v>66</v>
      </c>
      <c r="H561" s="7">
        <f t="shared" si="24"/>
        <v>64.400000000000006</v>
      </c>
      <c r="I561" s="7" t="str">
        <f t="shared" si="25"/>
        <v>PASS</v>
      </c>
      <c r="J561" s="7" t="str">
        <f t="shared" si="26"/>
        <v>Medium Risk</v>
      </c>
      <c r="L561" s="7" t="str">
        <f>IF(J561="High Risk",COUNTIF($J$3:J561,"High Risk"),"")</f>
        <v/>
      </c>
      <c r="M561" s="7">
        <f>RANK(H561,$H$3:$H$1002,0)+COUNTIF($H$3:H561,H561)-1</f>
        <v>538</v>
      </c>
    </row>
    <row r="562" spans="1:13" x14ac:dyDescent="0.35">
      <c r="A562" s="7" t="s">
        <v>1108</v>
      </c>
      <c r="B562" s="7" t="s">
        <v>550</v>
      </c>
      <c r="C562" s="8" t="s">
        <v>56</v>
      </c>
      <c r="D562" s="8" t="s">
        <v>57</v>
      </c>
      <c r="E562" s="8">
        <v>65.900000000000006</v>
      </c>
      <c r="F562" s="8">
        <v>1.1000000000000001</v>
      </c>
      <c r="G562" s="8">
        <v>57</v>
      </c>
      <c r="H562" s="7">
        <f t="shared" si="24"/>
        <v>45.9</v>
      </c>
      <c r="I562" s="7" t="str">
        <f t="shared" si="25"/>
        <v>FAIL</v>
      </c>
      <c r="J562" s="7" t="str">
        <f t="shared" si="26"/>
        <v>High Risk</v>
      </c>
      <c r="L562" s="7">
        <f>IF(J562="High Risk",COUNTIF($J$3:J562,"High Risk"),"")</f>
        <v>106</v>
      </c>
      <c r="M562" s="7">
        <f>RANK(H562,$H$3:$H$1002,0)+COUNTIF($H$3:H562,H562)-1</f>
        <v>846</v>
      </c>
    </row>
    <row r="563" spans="1:13" x14ac:dyDescent="0.35">
      <c r="A563" s="7" t="s">
        <v>1109</v>
      </c>
      <c r="B563" s="7" t="s">
        <v>1110</v>
      </c>
      <c r="C563" s="8" t="s">
        <v>56</v>
      </c>
      <c r="D563" s="8" t="s">
        <v>57</v>
      </c>
      <c r="E563" s="8">
        <v>100</v>
      </c>
      <c r="F563" s="8">
        <v>6.8</v>
      </c>
      <c r="G563" s="8">
        <v>76</v>
      </c>
      <c r="H563" s="7">
        <f t="shared" si="24"/>
        <v>80.8</v>
      </c>
      <c r="I563" s="7" t="str">
        <f t="shared" si="25"/>
        <v>PASS</v>
      </c>
      <c r="J563" s="7" t="str">
        <f t="shared" si="26"/>
        <v>Low Risk</v>
      </c>
      <c r="L563" s="7" t="str">
        <f>IF(J563="High Risk",COUNTIF($J$3:J563,"High Risk"),"")</f>
        <v/>
      </c>
      <c r="M563" s="7">
        <f>RANK(H563,$H$3:$H$1002,0)+COUNTIF($H$3:H563,H563)-1</f>
        <v>233</v>
      </c>
    </row>
    <row r="564" spans="1:13" x14ac:dyDescent="0.35">
      <c r="A564" s="7" t="s">
        <v>1111</v>
      </c>
      <c r="B564" s="7" t="s">
        <v>1112</v>
      </c>
      <c r="C564" s="8" t="s">
        <v>56</v>
      </c>
      <c r="D564" s="8" t="s">
        <v>63</v>
      </c>
      <c r="E564" s="8">
        <v>73.3</v>
      </c>
      <c r="F564" s="8">
        <v>9.1</v>
      </c>
      <c r="G564" s="8">
        <v>90</v>
      </c>
      <c r="H564" s="7">
        <f t="shared" si="24"/>
        <v>85.3</v>
      </c>
      <c r="I564" s="7" t="str">
        <f t="shared" si="25"/>
        <v>PASS</v>
      </c>
      <c r="J564" s="7" t="str">
        <f t="shared" si="26"/>
        <v>Low Risk</v>
      </c>
      <c r="L564" s="7" t="str">
        <f>IF(J564="High Risk",COUNTIF($J$3:J564,"High Risk"),"")</f>
        <v/>
      </c>
      <c r="M564" s="7">
        <f>RANK(H564,$H$3:$H$1002,0)+COUNTIF($H$3:H564,H564)-1</f>
        <v>163</v>
      </c>
    </row>
    <row r="565" spans="1:13" x14ac:dyDescent="0.35">
      <c r="A565" s="7" t="s">
        <v>1113</v>
      </c>
      <c r="B565" s="7" t="s">
        <v>1114</v>
      </c>
      <c r="C565" s="8" t="s">
        <v>62</v>
      </c>
      <c r="D565" s="8" t="s">
        <v>57</v>
      </c>
      <c r="E565" s="8">
        <v>75.3</v>
      </c>
      <c r="F565" s="8">
        <v>8.6</v>
      </c>
      <c r="G565" s="8">
        <v>62</v>
      </c>
      <c r="H565" s="7">
        <f t="shared" si="24"/>
        <v>73.2</v>
      </c>
      <c r="I565" s="7" t="str">
        <f t="shared" si="25"/>
        <v>PASS</v>
      </c>
      <c r="J565" s="7" t="str">
        <f t="shared" si="26"/>
        <v>Low Risk</v>
      </c>
      <c r="L565" s="7" t="str">
        <f>IF(J565="High Risk",COUNTIF($J$3:J565,"High Risk"),"")</f>
        <v/>
      </c>
      <c r="M565" s="7">
        <f>RANK(H565,$H$3:$H$1002,0)+COUNTIF($H$3:H565,H565)-1</f>
        <v>357</v>
      </c>
    </row>
    <row r="566" spans="1:13" x14ac:dyDescent="0.35">
      <c r="A566" s="7" t="s">
        <v>1115</v>
      </c>
      <c r="B566" s="7" t="s">
        <v>1116</v>
      </c>
      <c r="C566" s="8" t="s">
        <v>56</v>
      </c>
      <c r="D566" s="8" t="s">
        <v>75</v>
      </c>
      <c r="E566" s="8">
        <v>96.9</v>
      </c>
      <c r="F566" s="8">
        <v>10</v>
      </c>
      <c r="G566" s="8">
        <v>72</v>
      </c>
      <c r="H566" s="7">
        <f t="shared" si="24"/>
        <v>87.9</v>
      </c>
      <c r="I566" s="7" t="str">
        <f t="shared" si="25"/>
        <v>PASS</v>
      </c>
      <c r="J566" s="7" t="str">
        <f t="shared" si="26"/>
        <v>Low Risk</v>
      </c>
      <c r="L566" s="7" t="str">
        <f>IF(J566="High Risk",COUNTIF($J$3:J566,"High Risk"),"")</f>
        <v/>
      </c>
      <c r="M566" s="7">
        <f>RANK(H566,$H$3:$H$1002,0)+COUNTIF($H$3:H566,H566)-1</f>
        <v>127</v>
      </c>
    </row>
    <row r="567" spans="1:13" x14ac:dyDescent="0.35">
      <c r="A567" s="7" t="s">
        <v>1117</v>
      </c>
      <c r="B567" s="7" t="s">
        <v>753</v>
      </c>
      <c r="C567" s="8" t="s">
        <v>56</v>
      </c>
      <c r="D567" s="8" t="s">
        <v>75</v>
      </c>
      <c r="E567" s="8">
        <v>86.2</v>
      </c>
      <c r="F567" s="8">
        <v>8.6999999999999993</v>
      </c>
      <c r="G567" s="8">
        <v>66</v>
      </c>
      <c r="H567" s="7">
        <f t="shared" si="24"/>
        <v>78.400000000000006</v>
      </c>
      <c r="I567" s="7" t="str">
        <f t="shared" si="25"/>
        <v>PASS</v>
      </c>
      <c r="J567" s="7" t="str">
        <f t="shared" si="26"/>
        <v>Low Risk</v>
      </c>
      <c r="L567" s="7" t="str">
        <f>IF(J567="High Risk",COUNTIF($J$3:J567,"High Risk"),"")</f>
        <v/>
      </c>
      <c r="M567" s="7">
        <f>RANK(H567,$H$3:$H$1002,0)+COUNTIF($H$3:H567,H567)-1</f>
        <v>272</v>
      </c>
    </row>
    <row r="568" spans="1:13" x14ac:dyDescent="0.35">
      <c r="A568" s="7" t="s">
        <v>1118</v>
      </c>
      <c r="B568" s="7" t="s">
        <v>1119</v>
      </c>
      <c r="C568" s="8" t="s">
        <v>62</v>
      </c>
      <c r="D568" s="8" t="s">
        <v>63</v>
      </c>
      <c r="E568" s="8">
        <v>100</v>
      </c>
      <c r="F568" s="8">
        <v>5.4</v>
      </c>
      <c r="G568" s="8">
        <v>71</v>
      </c>
      <c r="H568" s="7">
        <f t="shared" si="24"/>
        <v>74.599999999999994</v>
      </c>
      <c r="I568" s="7" t="str">
        <f t="shared" si="25"/>
        <v>PASS</v>
      </c>
      <c r="J568" s="7" t="str">
        <f t="shared" si="26"/>
        <v>Low Risk</v>
      </c>
      <c r="L568" s="7" t="str">
        <f>IF(J568="High Risk",COUNTIF($J$3:J568,"High Risk"),"")</f>
        <v/>
      </c>
      <c r="M568" s="7">
        <f>RANK(H568,$H$3:$H$1002,0)+COUNTIF($H$3:H568,H568)-1</f>
        <v>330</v>
      </c>
    </row>
    <row r="569" spans="1:13" x14ac:dyDescent="0.35">
      <c r="A569" s="7" t="s">
        <v>1120</v>
      </c>
      <c r="B569" s="7" t="s">
        <v>1121</v>
      </c>
      <c r="C569" s="8" t="s">
        <v>56</v>
      </c>
      <c r="D569" s="8" t="s">
        <v>63</v>
      </c>
      <c r="E569" s="8">
        <v>84.5</v>
      </c>
      <c r="F569" s="8">
        <v>12.8</v>
      </c>
      <c r="G569" s="8">
        <v>80</v>
      </c>
      <c r="H569" s="7">
        <f t="shared" si="24"/>
        <v>87.4</v>
      </c>
      <c r="I569" s="7" t="str">
        <f t="shared" si="25"/>
        <v>PASS</v>
      </c>
      <c r="J569" s="7" t="str">
        <f t="shared" si="26"/>
        <v>Low Risk</v>
      </c>
      <c r="L569" s="7" t="str">
        <f>IF(J569="High Risk",COUNTIF($J$3:J569,"High Risk"),"")</f>
        <v/>
      </c>
      <c r="M569" s="7">
        <f>RANK(H569,$H$3:$H$1002,0)+COUNTIF($H$3:H569,H569)-1</f>
        <v>135</v>
      </c>
    </row>
    <row r="570" spans="1:13" x14ac:dyDescent="0.35">
      <c r="A570" s="7" t="s">
        <v>1122</v>
      </c>
      <c r="B570" s="7" t="s">
        <v>1123</v>
      </c>
      <c r="C570" s="8" t="s">
        <v>62</v>
      </c>
      <c r="D570" s="8" t="s">
        <v>75</v>
      </c>
      <c r="E570" s="8">
        <v>95.4</v>
      </c>
      <c r="F570" s="8">
        <v>9.4</v>
      </c>
      <c r="G570" s="8">
        <v>95</v>
      </c>
      <c r="H570" s="7">
        <f t="shared" si="24"/>
        <v>94.8</v>
      </c>
      <c r="I570" s="7" t="str">
        <f t="shared" si="25"/>
        <v>PASS</v>
      </c>
      <c r="J570" s="7" t="str">
        <f t="shared" si="26"/>
        <v>Low Risk</v>
      </c>
      <c r="L570" s="7" t="str">
        <f>IF(J570="High Risk",COUNTIF($J$3:J570,"High Risk"),"")</f>
        <v/>
      </c>
      <c r="M570" s="7">
        <f>RANK(H570,$H$3:$H$1002,0)+COUNTIF($H$3:H570,H570)-1</f>
        <v>58</v>
      </c>
    </row>
    <row r="571" spans="1:13" x14ac:dyDescent="0.35">
      <c r="A571" s="7" t="s">
        <v>1124</v>
      </c>
      <c r="B571" s="7" t="s">
        <v>1125</v>
      </c>
      <c r="C571" s="8" t="s">
        <v>62</v>
      </c>
      <c r="D571" s="8" t="s">
        <v>68</v>
      </c>
      <c r="E571" s="8">
        <v>90.6</v>
      </c>
      <c r="F571" s="8">
        <v>8.3000000000000007</v>
      </c>
      <c r="G571" s="8">
        <v>86</v>
      </c>
      <c r="H571" s="7">
        <f t="shared" si="24"/>
        <v>86.5</v>
      </c>
      <c r="I571" s="7" t="str">
        <f t="shared" si="25"/>
        <v>PASS</v>
      </c>
      <c r="J571" s="7" t="str">
        <f t="shared" si="26"/>
        <v>Low Risk</v>
      </c>
      <c r="L571" s="7" t="str">
        <f>IF(J571="High Risk",COUNTIF($J$3:J571,"High Risk"),"")</f>
        <v/>
      </c>
      <c r="M571" s="7">
        <f>RANK(H571,$H$3:$H$1002,0)+COUNTIF($H$3:H571,H571)-1</f>
        <v>148</v>
      </c>
    </row>
    <row r="572" spans="1:13" x14ac:dyDescent="0.35">
      <c r="A572" s="7" t="s">
        <v>1126</v>
      </c>
      <c r="B572" s="7" t="s">
        <v>1127</v>
      </c>
      <c r="C572" s="8" t="s">
        <v>62</v>
      </c>
      <c r="D572" s="8" t="s">
        <v>57</v>
      </c>
      <c r="E572" s="8">
        <v>77.7</v>
      </c>
      <c r="F572" s="8">
        <v>8.6</v>
      </c>
      <c r="G572" s="8">
        <v>68</v>
      </c>
      <c r="H572" s="7">
        <f t="shared" si="24"/>
        <v>76.3</v>
      </c>
      <c r="I572" s="7" t="str">
        <f t="shared" si="25"/>
        <v>PASS</v>
      </c>
      <c r="J572" s="7" t="str">
        <f t="shared" si="26"/>
        <v>Low Risk</v>
      </c>
      <c r="L572" s="7" t="str">
        <f>IF(J572="High Risk",COUNTIF($J$3:J572,"High Risk"),"")</f>
        <v/>
      </c>
      <c r="M572" s="7">
        <f>RANK(H572,$H$3:$H$1002,0)+COUNTIF($H$3:H572,H572)-1</f>
        <v>302</v>
      </c>
    </row>
    <row r="573" spans="1:13" x14ac:dyDescent="0.35">
      <c r="A573" s="7" t="s">
        <v>1128</v>
      </c>
      <c r="B573" s="7" t="s">
        <v>1129</v>
      </c>
      <c r="C573" s="8" t="s">
        <v>56</v>
      </c>
      <c r="D573" s="8" t="s">
        <v>63</v>
      </c>
      <c r="E573" s="8">
        <v>93.7</v>
      </c>
      <c r="F573" s="8">
        <v>7.3</v>
      </c>
      <c r="G573" s="8">
        <v>82</v>
      </c>
      <c r="H573" s="7">
        <f t="shared" si="24"/>
        <v>82.8</v>
      </c>
      <c r="I573" s="7" t="str">
        <f t="shared" si="25"/>
        <v>PASS</v>
      </c>
      <c r="J573" s="7" t="str">
        <f t="shared" si="26"/>
        <v>Low Risk</v>
      </c>
      <c r="L573" s="7" t="str">
        <f>IF(J573="High Risk",COUNTIF($J$3:J573,"High Risk"),"")</f>
        <v/>
      </c>
      <c r="M573" s="7">
        <f>RANK(H573,$H$3:$H$1002,0)+COUNTIF($H$3:H573,H573)-1</f>
        <v>202</v>
      </c>
    </row>
    <row r="574" spans="1:13" x14ac:dyDescent="0.35">
      <c r="A574" s="7" t="s">
        <v>1130</v>
      </c>
      <c r="B574" s="7" t="s">
        <v>1131</v>
      </c>
      <c r="C574" s="8" t="s">
        <v>56</v>
      </c>
      <c r="D574" s="8" t="s">
        <v>75</v>
      </c>
      <c r="E574" s="8">
        <v>72.900000000000006</v>
      </c>
      <c r="F574" s="8">
        <v>4.3</v>
      </c>
      <c r="G574" s="8">
        <v>55</v>
      </c>
      <c r="H574" s="7">
        <f t="shared" si="24"/>
        <v>56.8</v>
      </c>
      <c r="I574" s="7" t="str">
        <f t="shared" si="25"/>
        <v>PASS</v>
      </c>
      <c r="J574" s="7" t="str">
        <f t="shared" si="26"/>
        <v>Medium Risk</v>
      </c>
      <c r="L574" s="7" t="str">
        <f>IF(J574="High Risk",COUNTIF($J$3:J574,"High Risk"),"")</f>
        <v/>
      </c>
      <c r="M574" s="7">
        <f>RANK(H574,$H$3:$H$1002,0)+COUNTIF($H$3:H574,H574)-1</f>
        <v>690</v>
      </c>
    </row>
    <row r="575" spans="1:13" x14ac:dyDescent="0.35">
      <c r="A575" s="7" t="s">
        <v>1132</v>
      </c>
      <c r="B575" s="7" t="s">
        <v>314</v>
      </c>
      <c r="C575" s="8" t="s">
        <v>62</v>
      </c>
      <c r="D575" s="8" t="s">
        <v>63</v>
      </c>
      <c r="E575" s="8">
        <v>89.7</v>
      </c>
      <c r="F575" s="8">
        <v>9.1999999999999993</v>
      </c>
      <c r="G575" s="8">
        <v>89</v>
      </c>
      <c r="H575" s="7">
        <f t="shared" si="24"/>
        <v>90.1</v>
      </c>
      <c r="I575" s="7" t="str">
        <f t="shared" si="25"/>
        <v>PASS</v>
      </c>
      <c r="J575" s="7" t="str">
        <f t="shared" si="26"/>
        <v>Low Risk</v>
      </c>
      <c r="L575" s="7" t="str">
        <f>IF(J575="High Risk",COUNTIF($J$3:J575,"High Risk"),"")</f>
        <v/>
      </c>
      <c r="M575" s="7">
        <f>RANK(H575,$H$3:$H$1002,0)+COUNTIF($H$3:H575,H575)-1</f>
        <v>107</v>
      </c>
    </row>
    <row r="576" spans="1:13" x14ac:dyDescent="0.35">
      <c r="A576" s="7" t="s">
        <v>1133</v>
      </c>
      <c r="B576" s="7" t="s">
        <v>74</v>
      </c>
      <c r="C576" s="8" t="s">
        <v>62</v>
      </c>
      <c r="D576" s="8" t="s">
        <v>63</v>
      </c>
      <c r="E576" s="8">
        <v>32.799999999999997</v>
      </c>
      <c r="F576" s="8">
        <v>0</v>
      </c>
      <c r="G576" s="8">
        <v>20</v>
      </c>
      <c r="H576" s="7">
        <f t="shared" si="24"/>
        <v>17.8</v>
      </c>
      <c r="I576" s="7" t="str">
        <f t="shared" si="25"/>
        <v>FAIL</v>
      </c>
      <c r="J576" s="7" t="str">
        <f t="shared" si="26"/>
        <v>High Risk</v>
      </c>
      <c r="L576" s="7">
        <f>IF(J576="High Risk",COUNTIF($J$3:J576,"High Risk"),"")</f>
        <v>107</v>
      </c>
      <c r="M576" s="7">
        <f>RANK(H576,$H$3:$H$1002,0)+COUNTIF($H$3:H576,H576)-1</f>
        <v>997</v>
      </c>
    </row>
    <row r="577" spans="1:13" x14ac:dyDescent="0.35">
      <c r="A577" s="7" t="s">
        <v>1134</v>
      </c>
      <c r="B577" s="7" t="s">
        <v>1135</v>
      </c>
      <c r="C577" s="8" t="s">
        <v>62</v>
      </c>
      <c r="D577" s="8" t="s">
        <v>68</v>
      </c>
      <c r="E577" s="8">
        <v>50.4</v>
      </c>
      <c r="F577" s="8">
        <v>1.1000000000000001</v>
      </c>
      <c r="G577" s="8">
        <v>55</v>
      </c>
      <c r="H577" s="7">
        <f t="shared" si="24"/>
        <v>40.4</v>
      </c>
      <c r="I577" s="7" t="str">
        <f t="shared" si="25"/>
        <v>FAIL</v>
      </c>
      <c r="J577" s="7" t="str">
        <f t="shared" si="26"/>
        <v>High Risk</v>
      </c>
      <c r="L577" s="7">
        <f>IF(J577="High Risk",COUNTIF($J$3:J577,"High Risk"),"")</f>
        <v>108</v>
      </c>
      <c r="M577" s="7">
        <f>RANK(H577,$H$3:$H$1002,0)+COUNTIF($H$3:H577,H577)-1</f>
        <v>899</v>
      </c>
    </row>
    <row r="578" spans="1:13" x14ac:dyDescent="0.35">
      <c r="A578" s="7" t="s">
        <v>1136</v>
      </c>
      <c r="B578" s="7" t="s">
        <v>1137</v>
      </c>
      <c r="C578" s="8" t="s">
        <v>56</v>
      </c>
      <c r="D578" s="8" t="s">
        <v>75</v>
      </c>
      <c r="E578" s="8">
        <v>67.099999999999994</v>
      </c>
      <c r="F578" s="8">
        <v>4.9000000000000004</v>
      </c>
      <c r="G578" s="8">
        <v>64</v>
      </c>
      <c r="H578" s="7">
        <f t="shared" si="24"/>
        <v>60.4</v>
      </c>
      <c r="I578" s="7" t="str">
        <f t="shared" si="25"/>
        <v>PASS</v>
      </c>
      <c r="J578" s="7" t="str">
        <f t="shared" si="26"/>
        <v>Medium Risk</v>
      </c>
      <c r="L578" s="7" t="str">
        <f>IF(J578="High Risk",COUNTIF($J$3:J578,"High Risk"),"")</f>
        <v/>
      </c>
      <c r="M578" s="7">
        <f>RANK(H578,$H$3:$H$1002,0)+COUNTIF($H$3:H578,H578)-1</f>
        <v>615</v>
      </c>
    </row>
    <row r="579" spans="1:13" x14ac:dyDescent="0.35">
      <c r="A579" s="7" t="s">
        <v>1138</v>
      </c>
      <c r="B579" s="7" t="s">
        <v>1139</v>
      </c>
      <c r="C579" s="8" t="s">
        <v>56</v>
      </c>
      <c r="D579" s="8" t="s">
        <v>68</v>
      </c>
      <c r="E579" s="8">
        <v>81.7</v>
      </c>
      <c r="F579" s="8">
        <v>9.6</v>
      </c>
      <c r="G579" s="8">
        <v>84</v>
      </c>
      <c r="H579" s="7">
        <f t="shared" ref="H579:H642" si="27">ROUND(0.4*G579+0.3*E579+0.3*MIN(F579/10,1)*100,1)</f>
        <v>86.9</v>
      </c>
      <c r="I579" s="7" t="str">
        <f t="shared" ref="I579:I642" si="28">IF(H579&gt;=50,"PASS","FAIL")</f>
        <v>PASS</v>
      </c>
      <c r="J579" s="7" t="str">
        <f t="shared" ref="J579:J642" si="29">IF(H579&lt;50,"High Risk",IF(H579&lt;65,"Medium Risk","Low Risk"))</f>
        <v>Low Risk</v>
      </c>
      <c r="L579" s="7" t="str">
        <f>IF(J579="High Risk",COUNTIF($J$3:J579,"High Risk"),"")</f>
        <v/>
      </c>
      <c r="M579" s="7">
        <f>RANK(H579,$H$3:$H$1002,0)+COUNTIF($H$3:H579,H579)-1</f>
        <v>140</v>
      </c>
    </row>
    <row r="580" spans="1:13" x14ac:dyDescent="0.35">
      <c r="A580" s="7" t="s">
        <v>1140</v>
      </c>
      <c r="B580" s="7" t="s">
        <v>1141</v>
      </c>
      <c r="C580" s="8" t="s">
        <v>62</v>
      </c>
      <c r="D580" s="8" t="s">
        <v>57</v>
      </c>
      <c r="E580" s="8">
        <v>68.8</v>
      </c>
      <c r="F580" s="8">
        <v>3</v>
      </c>
      <c r="G580" s="8">
        <v>35</v>
      </c>
      <c r="H580" s="7">
        <f t="shared" si="27"/>
        <v>43.6</v>
      </c>
      <c r="I580" s="7" t="str">
        <f t="shared" si="28"/>
        <v>FAIL</v>
      </c>
      <c r="J580" s="7" t="str">
        <f t="shared" si="29"/>
        <v>High Risk</v>
      </c>
      <c r="L580" s="7">
        <f>IF(J580="High Risk",COUNTIF($J$3:J580,"High Risk"),"")</f>
        <v>109</v>
      </c>
      <c r="M580" s="7">
        <f>RANK(H580,$H$3:$H$1002,0)+COUNTIF($H$3:H580,H580)-1</f>
        <v>864</v>
      </c>
    </row>
    <row r="581" spans="1:13" x14ac:dyDescent="0.35">
      <c r="A581" s="7" t="s">
        <v>1142</v>
      </c>
      <c r="B581" s="7" t="s">
        <v>498</v>
      </c>
      <c r="C581" s="8" t="s">
        <v>62</v>
      </c>
      <c r="D581" s="8" t="s">
        <v>75</v>
      </c>
      <c r="E581" s="8">
        <v>59.7</v>
      </c>
      <c r="F581" s="8">
        <v>8.3000000000000007</v>
      </c>
      <c r="G581" s="8">
        <v>56</v>
      </c>
      <c r="H581" s="7">
        <f t="shared" si="27"/>
        <v>65.2</v>
      </c>
      <c r="I581" s="7" t="str">
        <f t="shared" si="28"/>
        <v>PASS</v>
      </c>
      <c r="J581" s="7" t="str">
        <f t="shared" si="29"/>
        <v>Low Risk</v>
      </c>
      <c r="L581" s="7" t="str">
        <f>IF(J581="High Risk",COUNTIF($J$3:J581,"High Risk"),"")</f>
        <v/>
      </c>
      <c r="M581" s="7">
        <f>RANK(H581,$H$3:$H$1002,0)+COUNTIF($H$3:H581,H581)-1</f>
        <v>528</v>
      </c>
    </row>
    <row r="582" spans="1:13" x14ac:dyDescent="0.35">
      <c r="A582" s="7" t="s">
        <v>1143</v>
      </c>
      <c r="B582" s="7" t="s">
        <v>1144</v>
      </c>
      <c r="C582" s="8" t="s">
        <v>62</v>
      </c>
      <c r="D582" s="8" t="s">
        <v>57</v>
      </c>
      <c r="E582" s="8">
        <v>48</v>
      </c>
      <c r="F582" s="8">
        <v>3.4</v>
      </c>
      <c r="G582" s="8">
        <v>52</v>
      </c>
      <c r="H582" s="7">
        <f t="shared" si="27"/>
        <v>45.4</v>
      </c>
      <c r="I582" s="7" t="str">
        <f t="shared" si="28"/>
        <v>FAIL</v>
      </c>
      <c r="J582" s="7" t="str">
        <f t="shared" si="29"/>
        <v>High Risk</v>
      </c>
      <c r="L582" s="7">
        <f>IF(J582="High Risk",COUNTIF($J$3:J582,"High Risk"),"")</f>
        <v>110</v>
      </c>
      <c r="M582" s="7">
        <f>RANK(H582,$H$3:$H$1002,0)+COUNTIF($H$3:H582,H582)-1</f>
        <v>850</v>
      </c>
    </row>
    <row r="583" spans="1:13" x14ac:dyDescent="0.35">
      <c r="A583" s="7" t="s">
        <v>1145</v>
      </c>
      <c r="B583" s="7" t="s">
        <v>1146</v>
      </c>
      <c r="C583" s="8" t="s">
        <v>56</v>
      </c>
      <c r="D583" s="8" t="s">
        <v>63</v>
      </c>
      <c r="E583" s="8">
        <v>70.099999999999994</v>
      </c>
      <c r="F583" s="8">
        <v>4.4000000000000004</v>
      </c>
      <c r="G583" s="8">
        <v>51</v>
      </c>
      <c r="H583" s="7">
        <f t="shared" si="27"/>
        <v>54.6</v>
      </c>
      <c r="I583" s="7" t="str">
        <f t="shared" si="28"/>
        <v>PASS</v>
      </c>
      <c r="J583" s="7" t="str">
        <f t="shared" si="29"/>
        <v>Medium Risk</v>
      </c>
      <c r="L583" s="7" t="str">
        <f>IF(J583="High Risk",COUNTIF($J$3:J583,"High Risk"),"")</f>
        <v/>
      </c>
      <c r="M583" s="7">
        <f>RANK(H583,$H$3:$H$1002,0)+COUNTIF($H$3:H583,H583)-1</f>
        <v>722</v>
      </c>
    </row>
    <row r="584" spans="1:13" x14ac:dyDescent="0.35">
      <c r="A584" s="7" t="s">
        <v>1147</v>
      </c>
      <c r="B584" s="7" t="s">
        <v>1148</v>
      </c>
      <c r="C584" s="8" t="s">
        <v>62</v>
      </c>
      <c r="D584" s="8" t="s">
        <v>75</v>
      </c>
      <c r="E584" s="8">
        <v>65.8</v>
      </c>
      <c r="F584" s="8">
        <v>0.5</v>
      </c>
      <c r="G584" s="8">
        <v>48</v>
      </c>
      <c r="H584" s="7">
        <f t="shared" si="27"/>
        <v>40.4</v>
      </c>
      <c r="I584" s="7" t="str">
        <f t="shared" si="28"/>
        <v>FAIL</v>
      </c>
      <c r="J584" s="7" t="str">
        <f t="shared" si="29"/>
        <v>High Risk</v>
      </c>
      <c r="L584" s="7">
        <f>IF(J584="High Risk",COUNTIF($J$3:J584,"High Risk"),"")</f>
        <v>111</v>
      </c>
      <c r="M584" s="7">
        <f>RANK(H584,$H$3:$H$1002,0)+COUNTIF($H$3:H584,H584)-1</f>
        <v>900</v>
      </c>
    </row>
    <row r="585" spans="1:13" x14ac:dyDescent="0.35">
      <c r="A585" s="7" t="s">
        <v>1149</v>
      </c>
      <c r="B585" s="7" t="s">
        <v>1150</v>
      </c>
      <c r="C585" s="8" t="s">
        <v>56</v>
      </c>
      <c r="D585" s="8" t="s">
        <v>63</v>
      </c>
      <c r="E585" s="8">
        <v>62</v>
      </c>
      <c r="F585" s="8">
        <v>4.0999999999999996</v>
      </c>
      <c r="G585" s="8">
        <v>59</v>
      </c>
      <c r="H585" s="7">
        <f t="shared" si="27"/>
        <v>54.5</v>
      </c>
      <c r="I585" s="7" t="str">
        <f t="shared" si="28"/>
        <v>PASS</v>
      </c>
      <c r="J585" s="7" t="str">
        <f t="shared" si="29"/>
        <v>Medium Risk</v>
      </c>
      <c r="L585" s="7" t="str">
        <f>IF(J585="High Risk",COUNTIF($J$3:J585,"High Risk"),"")</f>
        <v/>
      </c>
      <c r="M585" s="7">
        <f>RANK(H585,$H$3:$H$1002,0)+COUNTIF($H$3:H585,H585)-1</f>
        <v>724</v>
      </c>
    </row>
    <row r="586" spans="1:13" x14ac:dyDescent="0.35">
      <c r="A586" s="7" t="s">
        <v>1151</v>
      </c>
      <c r="B586" s="7" t="s">
        <v>1152</v>
      </c>
      <c r="C586" s="8" t="s">
        <v>62</v>
      </c>
      <c r="D586" s="8" t="s">
        <v>68</v>
      </c>
      <c r="E586" s="8">
        <v>62.6</v>
      </c>
      <c r="F586" s="8">
        <v>4.7</v>
      </c>
      <c r="G586" s="8">
        <v>50</v>
      </c>
      <c r="H586" s="7">
        <f t="shared" si="27"/>
        <v>52.9</v>
      </c>
      <c r="I586" s="7" t="str">
        <f t="shared" si="28"/>
        <v>PASS</v>
      </c>
      <c r="J586" s="7" t="str">
        <f t="shared" si="29"/>
        <v>Medium Risk</v>
      </c>
      <c r="L586" s="7" t="str">
        <f>IF(J586="High Risk",COUNTIF($J$3:J586,"High Risk"),"")</f>
        <v/>
      </c>
      <c r="M586" s="7">
        <f>RANK(H586,$H$3:$H$1002,0)+COUNTIF($H$3:H586,H586)-1</f>
        <v>752</v>
      </c>
    </row>
    <row r="587" spans="1:13" x14ac:dyDescent="0.35">
      <c r="A587" s="7" t="s">
        <v>1153</v>
      </c>
      <c r="B587" s="7" t="s">
        <v>1154</v>
      </c>
      <c r="C587" s="8" t="s">
        <v>56</v>
      </c>
      <c r="D587" s="8" t="s">
        <v>75</v>
      </c>
      <c r="E587" s="8">
        <v>74.400000000000006</v>
      </c>
      <c r="F587" s="8">
        <v>3.9</v>
      </c>
      <c r="G587" s="8">
        <v>61</v>
      </c>
      <c r="H587" s="7">
        <f t="shared" si="27"/>
        <v>58.4</v>
      </c>
      <c r="I587" s="7" t="str">
        <f t="shared" si="28"/>
        <v>PASS</v>
      </c>
      <c r="J587" s="7" t="str">
        <f t="shared" si="29"/>
        <v>Medium Risk</v>
      </c>
      <c r="L587" s="7" t="str">
        <f>IF(J587="High Risk",COUNTIF($J$3:J587,"High Risk"),"")</f>
        <v/>
      </c>
      <c r="M587" s="7">
        <f>RANK(H587,$H$3:$H$1002,0)+COUNTIF($H$3:H587,H587)-1</f>
        <v>654</v>
      </c>
    </row>
    <row r="588" spans="1:13" x14ac:dyDescent="0.35">
      <c r="A588" s="7" t="s">
        <v>1155</v>
      </c>
      <c r="B588" s="7" t="s">
        <v>1156</v>
      </c>
      <c r="C588" s="8" t="s">
        <v>62</v>
      </c>
      <c r="D588" s="8" t="s">
        <v>68</v>
      </c>
      <c r="E588" s="8">
        <v>46</v>
      </c>
      <c r="F588" s="8">
        <v>2.2999999999999998</v>
      </c>
      <c r="G588" s="8">
        <v>23</v>
      </c>
      <c r="H588" s="7">
        <f t="shared" si="27"/>
        <v>29.9</v>
      </c>
      <c r="I588" s="7" t="str">
        <f t="shared" si="28"/>
        <v>FAIL</v>
      </c>
      <c r="J588" s="7" t="str">
        <f t="shared" si="29"/>
        <v>High Risk</v>
      </c>
      <c r="L588" s="7">
        <f>IF(J588="High Risk",COUNTIF($J$3:J588,"High Risk"),"")</f>
        <v>112</v>
      </c>
      <c r="M588" s="7">
        <f>RANK(H588,$H$3:$H$1002,0)+COUNTIF($H$3:H588,H588)-1</f>
        <v>965</v>
      </c>
    </row>
    <row r="589" spans="1:13" x14ac:dyDescent="0.35">
      <c r="A589" s="7" t="s">
        <v>1157</v>
      </c>
      <c r="B589" s="7" t="s">
        <v>1158</v>
      </c>
      <c r="C589" s="8" t="s">
        <v>62</v>
      </c>
      <c r="D589" s="8" t="s">
        <v>68</v>
      </c>
      <c r="E589" s="8">
        <v>79.099999999999994</v>
      </c>
      <c r="F589" s="8">
        <v>7.8</v>
      </c>
      <c r="G589" s="8">
        <v>83</v>
      </c>
      <c r="H589" s="7">
        <f t="shared" si="27"/>
        <v>80.3</v>
      </c>
      <c r="I589" s="7" t="str">
        <f t="shared" si="28"/>
        <v>PASS</v>
      </c>
      <c r="J589" s="7" t="str">
        <f t="shared" si="29"/>
        <v>Low Risk</v>
      </c>
      <c r="L589" s="7" t="str">
        <f>IF(J589="High Risk",COUNTIF($J$3:J589,"High Risk"),"")</f>
        <v/>
      </c>
      <c r="M589" s="7">
        <f>RANK(H589,$H$3:$H$1002,0)+COUNTIF($H$3:H589,H589)-1</f>
        <v>242</v>
      </c>
    </row>
    <row r="590" spans="1:13" x14ac:dyDescent="0.35">
      <c r="A590" s="7" t="s">
        <v>1159</v>
      </c>
      <c r="B590" s="7" t="s">
        <v>417</v>
      </c>
      <c r="C590" s="8" t="s">
        <v>56</v>
      </c>
      <c r="D590" s="8" t="s">
        <v>57</v>
      </c>
      <c r="E590" s="8">
        <v>78.3</v>
      </c>
      <c r="F590" s="8">
        <v>3.2</v>
      </c>
      <c r="G590" s="8">
        <v>50</v>
      </c>
      <c r="H590" s="7">
        <f t="shared" si="27"/>
        <v>53.1</v>
      </c>
      <c r="I590" s="7" t="str">
        <f t="shared" si="28"/>
        <v>PASS</v>
      </c>
      <c r="J590" s="7" t="str">
        <f t="shared" si="29"/>
        <v>Medium Risk</v>
      </c>
      <c r="L590" s="7" t="str">
        <f>IF(J590="High Risk",COUNTIF($J$3:J590,"High Risk"),"")</f>
        <v/>
      </c>
      <c r="M590" s="7">
        <f>RANK(H590,$H$3:$H$1002,0)+COUNTIF($H$3:H590,H590)-1</f>
        <v>750</v>
      </c>
    </row>
    <row r="591" spans="1:13" x14ac:dyDescent="0.35">
      <c r="A591" s="7" t="s">
        <v>1160</v>
      </c>
      <c r="B591" s="7" t="s">
        <v>1161</v>
      </c>
      <c r="C591" s="8" t="s">
        <v>62</v>
      </c>
      <c r="D591" s="8" t="s">
        <v>57</v>
      </c>
      <c r="E591" s="8">
        <v>49</v>
      </c>
      <c r="F591" s="8">
        <v>7.6</v>
      </c>
      <c r="G591" s="8">
        <v>60</v>
      </c>
      <c r="H591" s="7">
        <f t="shared" si="27"/>
        <v>61.5</v>
      </c>
      <c r="I591" s="7" t="str">
        <f t="shared" si="28"/>
        <v>PASS</v>
      </c>
      <c r="J591" s="7" t="str">
        <f t="shared" si="29"/>
        <v>Medium Risk</v>
      </c>
      <c r="L591" s="7" t="str">
        <f>IF(J591="High Risk",COUNTIF($J$3:J591,"High Risk"),"")</f>
        <v/>
      </c>
      <c r="M591" s="7">
        <f>RANK(H591,$H$3:$H$1002,0)+COUNTIF($H$3:H591,H591)-1</f>
        <v>596</v>
      </c>
    </row>
    <row r="592" spans="1:13" x14ac:dyDescent="0.35">
      <c r="A592" s="7" t="s">
        <v>1162</v>
      </c>
      <c r="B592" s="7" t="s">
        <v>1163</v>
      </c>
      <c r="C592" s="8" t="s">
        <v>62</v>
      </c>
      <c r="D592" s="8" t="s">
        <v>57</v>
      </c>
      <c r="E592" s="8">
        <v>64.2</v>
      </c>
      <c r="F592" s="8">
        <v>4.5</v>
      </c>
      <c r="G592" s="8">
        <v>40</v>
      </c>
      <c r="H592" s="7">
        <f t="shared" si="27"/>
        <v>48.8</v>
      </c>
      <c r="I592" s="7" t="str">
        <f t="shared" si="28"/>
        <v>FAIL</v>
      </c>
      <c r="J592" s="7" t="str">
        <f t="shared" si="29"/>
        <v>High Risk</v>
      </c>
      <c r="L592" s="7">
        <f>IF(J592="High Risk",COUNTIF($J$3:J592,"High Risk"),"")</f>
        <v>113</v>
      </c>
      <c r="M592" s="7">
        <f>RANK(H592,$H$3:$H$1002,0)+COUNTIF($H$3:H592,H592)-1</f>
        <v>817</v>
      </c>
    </row>
    <row r="593" spans="1:13" x14ac:dyDescent="0.35">
      <c r="A593" s="7" t="s">
        <v>1164</v>
      </c>
      <c r="B593" s="7" t="s">
        <v>1165</v>
      </c>
      <c r="C593" s="8" t="s">
        <v>56</v>
      </c>
      <c r="D593" s="8" t="s">
        <v>57</v>
      </c>
      <c r="E593" s="8">
        <v>56</v>
      </c>
      <c r="F593" s="8">
        <v>5.9</v>
      </c>
      <c r="G593" s="8">
        <v>67</v>
      </c>
      <c r="H593" s="7">
        <f t="shared" si="27"/>
        <v>61.3</v>
      </c>
      <c r="I593" s="7" t="str">
        <f t="shared" si="28"/>
        <v>PASS</v>
      </c>
      <c r="J593" s="7" t="str">
        <f t="shared" si="29"/>
        <v>Medium Risk</v>
      </c>
      <c r="L593" s="7" t="str">
        <f>IF(J593="High Risk",COUNTIF($J$3:J593,"High Risk"),"")</f>
        <v/>
      </c>
      <c r="M593" s="7">
        <f>RANK(H593,$H$3:$H$1002,0)+COUNTIF($H$3:H593,H593)-1</f>
        <v>599</v>
      </c>
    </row>
    <row r="594" spans="1:13" x14ac:dyDescent="0.35">
      <c r="A594" s="7" t="s">
        <v>1166</v>
      </c>
      <c r="B594" s="7" t="s">
        <v>1167</v>
      </c>
      <c r="C594" s="8" t="s">
        <v>56</v>
      </c>
      <c r="D594" s="8" t="s">
        <v>75</v>
      </c>
      <c r="E594" s="8">
        <v>72.400000000000006</v>
      </c>
      <c r="F594" s="8">
        <v>10.199999999999999</v>
      </c>
      <c r="G594" s="8">
        <v>75</v>
      </c>
      <c r="H594" s="7">
        <f t="shared" si="27"/>
        <v>81.7</v>
      </c>
      <c r="I594" s="7" t="str">
        <f t="shared" si="28"/>
        <v>PASS</v>
      </c>
      <c r="J594" s="7" t="str">
        <f t="shared" si="29"/>
        <v>Low Risk</v>
      </c>
      <c r="L594" s="7" t="str">
        <f>IF(J594="High Risk",COUNTIF($J$3:J594,"High Risk"),"")</f>
        <v/>
      </c>
      <c r="M594" s="7">
        <f>RANK(H594,$H$3:$H$1002,0)+COUNTIF($H$3:H594,H594)-1</f>
        <v>220</v>
      </c>
    </row>
    <row r="595" spans="1:13" x14ac:dyDescent="0.35">
      <c r="A595" s="7" t="s">
        <v>1168</v>
      </c>
      <c r="B595" s="7" t="s">
        <v>438</v>
      </c>
      <c r="C595" s="8" t="s">
        <v>62</v>
      </c>
      <c r="D595" s="8" t="s">
        <v>63</v>
      </c>
      <c r="E595" s="8">
        <v>70.099999999999994</v>
      </c>
      <c r="F595" s="8">
        <v>2.8</v>
      </c>
      <c r="G595" s="8">
        <v>62</v>
      </c>
      <c r="H595" s="7">
        <f t="shared" si="27"/>
        <v>54.2</v>
      </c>
      <c r="I595" s="7" t="str">
        <f t="shared" si="28"/>
        <v>PASS</v>
      </c>
      <c r="J595" s="7" t="str">
        <f t="shared" si="29"/>
        <v>Medium Risk</v>
      </c>
      <c r="L595" s="7" t="str">
        <f>IF(J595="High Risk",COUNTIF($J$3:J595,"High Risk"),"")</f>
        <v/>
      </c>
      <c r="M595" s="7">
        <f>RANK(H595,$H$3:$H$1002,0)+COUNTIF($H$3:H595,H595)-1</f>
        <v>729</v>
      </c>
    </row>
    <row r="596" spans="1:13" x14ac:dyDescent="0.35">
      <c r="A596" s="7" t="s">
        <v>1169</v>
      </c>
      <c r="B596" s="7" t="s">
        <v>1170</v>
      </c>
      <c r="C596" s="8" t="s">
        <v>62</v>
      </c>
      <c r="D596" s="8" t="s">
        <v>68</v>
      </c>
      <c r="E596" s="8">
        <v>80</v>
      </c>
      <c r="F596" s="8">
        <v>12</v>
      </c>
      <c r="G596" s="8">
        <v>75</v>
      </c>
      <c r="H596" s="7">
        <f t="shared" si="27"/>
        <v>84</v>
      </c>
      <c r="I596" s="7" t="str">
        <f t="shared" si="28"/>
        <v>PASS</v>
      </c>
      <c r="J596" s="7" t="str">
        <f t="shared" si="29"/>
        <v>Low Risk</v>
      </c>
      <c r="L596" s="7" t="str">
        <f>IF(J596="High Risk",COUNTIF($J$3:J596,"High Risk"),"")</f>
        <v/>
      </c>
      <c r="M596" s="7">
        <f>RANK(H596,$H$3:$H$1002,0)+COUNTIF($H$3:H596,H596)-1</f>
        <v>185</v>
      </c>
    </row>
    <row r="597" spans="1:13" x14ac:dyDescent="0.35">
      <c r="A597" s="7" t="s">
        <v>1171</v>
      </c>
      <c r="B597" s="7" t="s">
        <v>1088</v>
      </c>
      <c r="C597" s="8" t="s">
        <v>62</v>
      </c>
      <c r="D597" s="8" t="s">
        <v>63</v>
      </c>
      <c r="E597" s="8">
        <v>94.7</v>
      </c>
      <c r="F597" s="8">
        <v>4.3</v>
      </c>
      <c r="G597" s="8">
        <v>85</v>
      </c>
      <c r="H597" s="7">
        <f t="shared" si="27"/>
        <v>75.3</v>
      </c>
      <c r="I597" s="7" t="str">
        <f t="shared" si="28"/>
        <v>PASS</v>
      </c>
      <c r="J597" s="7" t="str">
        <f t="shared" si="29"/>
        <v>Low Risk</v>
      </c>
      <c r="L597" s="7" t="str">
        <f>IF(J597="High Risk",COUNTIF($J$3:J597,"High Risk"),"")</f>
        <v/>
      </c>
      <c r="M597" s="7">
        <f>RANK(H597,$H$3:$H$1002,0)+COUNTIF($H$3:H597,H597)-1</f>
        <v>320</v>
      </c>
    </row>
    <row r="598" spans="1:13" x14ac:dyDescent="0.35">
      <c r="A598" s="7" t="s">
        <v>1172</v>
      </c>
      <c r="B598" s="7" t="s">
        <v>1173</v>
      </c>
      <c r="C598" s="8" t="s">
        <v>56</v>
      </c>
      <c r="D598" s="8" t="s">
        <v>75</v>
      </c>
      <c r="E598" s="8">
        <v>66.8</v>
      </c>
      <c r="F598" s="8">
        <v>8.1999999999999993</v>
      </c>
      <c r="G598" s="8">
        <v>60</v>
      </c>
      <c r="H598" s="7">
        <f t="shared" si="27"/>
        <v>68.599999999999994</v>
      </c>
      <c r="I598" s="7" t="str">
        <f t="shared" si="28"/>
        <v>PASS</v>
      </c>
      <c r="J598" s="7" t="str">
        <f t="shared" si="29"/>
        <v>Low Risk</v>
      </c>
      <c r="L598" s="7" t="str">
        <f>IF(J598="High Risk",COUNTIF($J$3:J598,"High Risk"),"")</f>
        <v/>
      </c>
      <c r="M598" s="7">
        <f>RANK(H598,$H$3:$H$1002,0)+COUNTIF($H$3:H598,H598)-1</f>
        <v>462</v>
      </c>
    </row>
    <row r="599" spans="1:13" x14ac:dyDescent="0.35">
      <c r="A599" s="7" t="s">
        <v>1174</v>
      </c>
      <c r="B599" s="7" t="s">
        <v>1175</v>
      </c>
      <c r="C599" s="8" t="s">
        <v>62</v>
      </c>
      <c r="D599" s="8" t="s">
        <v>57</v>
      </c>
      <c r="E599" s="8">
        <v>61.3</v>
      </c>
      <c r="F599" s="8">
        <v>6.3</v>
      </c>
      <c r="G599" s="8">
        <v>62</v>
      </c>
      <c r="H599" s="7">
        <f t="shared" si="27"/>
        <v>62.1</v>
      </c>
      <c r="I599" s="7" t="str">
        <f t="shared" si="28"/>
        <v>PASS</v>
      </c>
      <c r="J599" s="7" t="str">
        <f t="shared" si="29"/>
        <v>Medium Risk</v>
      </c>
      <c r="L599" s="7" t="str">
        <f>IF(J599="High Risk",COUNTIF($J$3:J599,"High Risk"),"")</f>
        <v/>
      </c>
      <c r="M599" s="7">
        <f>RANK(H599,$H$3:$H$1002,0)+COUNTIF($H$3:H599,H599)-1</f>
        <v>579</v>
      </c>
    </row>
    <row r="600" spans="1:13" x14ac:dyDescent="0.35">
      <c r="A600" s="7" t="s">
        <v>1176</v>
      </c>
      <c r="B600" s="7" t="s">
        <v>1177</v>
      </c>
      <c r="C600" s="8" t="s">
        <v>62</v>
      </c>
      <c r="D600" s="8" t="s">
        <v>57</v>
      </c>
      <c r="E600" s="8">
        <v>90.4</v>
      </c>
      <c r="F600" s="8">
        <v>4.5999999999999996</v>
      </c>
      <c r="G600" s="8">
        <v>64</v>
      </c>
      <c r="H600" s="7">
        <f t="shared" si="27"/>
        <v>66.5</v>
      </c>
      <c r="I600" s="7" t="str">
        <f t="shared" si="28"/>
        <v>PASS</v>
      </c>
      <c r="J600" s="7" t="str">
        <f t="shared" si="29"/>
        <v>Low Risk</v>
      </c>
      <c r="L600" s="7" t="str">
        <f>IF(J600="High Risk",COUNTIF($J$3:J600,"High Risk"),"")</f>
        <v/>
      </c>
      <c r="M600" s="7">
        <f>RANK(H600,$H$3:$H$1002,0)+COUNTIF($H$3:H600,H600)-1</f>
        <v>501</v>
      </c>
    </row>
    <row r="601" spans="1:13" x14ac:dyDescent="0.35">
      <c r="A601" s="7" t="s">
        <v>1178</v>
      </c>
      <c r="B601" s="7" t="s">
        <v>172</v>
      </c>
      <c r="C601" s="8" t="s">
        <v>62</v>
      </c>
      <c r="D601" s="8" t="s">
        <v>63</v>
      </c>
      <c r="E601" s="8">
        <v>65.8</v>
      </c>
      <c r="F601" s="8">
        <v>2.4</v>
      </c>
      <c r="G601" s="8">
        <v>49</v>
      </c>
      <c r="H601" s="7">
        <f t="shared" si="27"/>
        <v>46.5</v>
      </c>
      <c r="I601" s="7" t="str">
        <f t="shared" si="28"/>
        <v>FAIL</v>
      </c>
      <c r="J601" s="7" t="str">
        <f t="shared" si="29"/>
        <v>High Risk</v>
      </c>
      <c r="L601" s="7">
        <f>IF(J601="High Risk",COUNTIF($J$3:J601,"High Risk"),"")</f>
        <v>114</v>
      </c>
      <c r="M601" s="7">
        <f>RANK(H601,$H$3:$H$1002,0)+COUNTIF($H$3:H601,H601)-1</f>
        <v>843</v>
      </c>
    </row>
    <row r="602" spans="1:13" x14ac:dyDescent="0.35">
      <c r="A602" s="7" t="s">
        <v>1179</v>
      </c>
      <c r="B602" s="7" t="s">
        <v>1180</v>
      </c>
      <c r="C602" s="8" t="s">
        <v>56</v>
      </c>
      <c r="D602" s="8" t="s">
        <v>57</v>
      </c>
      <c r="E602" s="8">
        <v>88.4</v>
      </c>
      <c r="F602" s="8">
        <v>7.8</v>
      </c>
      <c r="G602" s="8">
        <v>82</v>
      </c>
      <c r="H602" s="7">
        <f t="shared" si="27"/>
        <v>82.7</v>
      </c>
      <c r="I602" s="7" t="str">
        <f t="shared" si="28"/>
        <v>PASS</v>
      </c>
      <c r="J602" s="7" t="str">
        <f t="shared" si="29"/>
        <v>Low Risk</v>
      </c>
      <c r="L602" s="7" t="str">
        <f>IF(J602="High Risk",COUNTIF($J$3:J602,"High Risk"),"")</f>
        <v/>
      </c>
      <c r="M602" s="7">
        <f>RANK(H602,$H$3:$H$1002,0)+COUNTIF($H$3:H602,H602)-1</f>
        <v>203</v>
      </c>
    </row>
    <row r="603" spans="1:13" x14ac:dyDescent="0.35">
      <c r="A603" s="7" t="s">
        <v>1181</v>
      </c>
      <c r="B603" s="7" t="s">
        <v>1105</v>
      </c>
      <c r="C603" s="8" t="s">
        <v>62</v>
      </c>
      <c r="D603" s="8" t="s">
        <v>68</v>
      </c>
      <c r="E603" s="8">
        <v>64.7</v>
      </c>
      <c r="F603" s="8">
        <v>7.7</v>
      </c>
      <c r="G603" s="8">
        <v>64</v>
      </c>
      <c r="H603" s="7">
        <f t="shared" si="27"/>
        <v>68.099999999999994</v>
      </c>
      <c r="I603" s="7" t="str">
        <f t="shared" si="28"/>
        <v>PASS</v>
      </c>
      <c r="J603" s="7" t="str">
        <f t="shared" si="29"/>
        <v>Low Risk</v>
      </c>
      <c r="L603" s="7" t="str">
        <f>IF(J603="High Risk",COUNTIF($J$3:J603,"High Risk"),"")</f>
        <v/>
      </c>
      <c r="M603" s="7">
        <f>RANK(H603,$H$3:$H$1002,0)+COUNTIF($H$3:H603,H603)-1</f>
        <v>471</v>
      </c>
    </row>
    <row r="604" spans="1:13" x14ac:dyDescent="0.35">
      <c r="A604" s="7" t="s">
        <v>1182</v>
      </c>
      <c r="B604" s="7" t="s">
        <v>823</v>
      </c>
      <c r="C604" s="8" t="s">
        <v>56</v>
      </c>
      <c r="D604" s="8" t="s">
        <v>63</v>
      </c>
      <c r="E604" s="8">
        <v>60.8</v>
      </c>
      <c r="F604" s="8">
        <v>2.5</v>
      </c>
      <c r="G604" s="8">
        <v>53</v>
      </c>
      <c r="H604" s="7">
        <f t="shared" si="27"/>
        <v>46.9</v>
      </c>
      <c r="I604" s="7" t="str">
        <f t="shared" si="28"/>
        <v>FAIL</v>
      </c>
      <c r="J604" s="7" t="str">
        <f t="shared" si="29"/>
        <v>High Risk</v>
      </c>
      <c r="L604" s="7">
        <f>IF(J604="High Risk",COUNTIF($J$3:J604,"High Risk"),"")</f>
        <v>115</v>
      </c>
      <c r="M604" s="7">
        <f>RANK(H604,$H$3:$H$1002,0)+COUNTIF($H$3:H604,H604)-1</f>
        <v>838</v>
      </c>
    </row>
    <row r="605" spans="1:13" x14ac:dyDescent="0.35">
      <c r="A605" s="7" t="s">
        <v>1183</v>
      </c>
      <c r="B605" s="7" t="s">
        <v>1184</v>
      </c>
      <c r="C605" s="8" t="s">
        <v>56</v>
      </c>
      <c r="D605" s="8" t="s">
        <v>63</v>
      </c>
      <c r="E605" s="8">
        <v>100</v>
      </c>
      <c r="F605" s="8">
        <v>7.8</v>
      </c>
      <c r="G605" s="8">
        <v>92</v>
      </c>
      <c r="H605" s="7">
        <f t="shared" si="27"/>
        <v>90.2</v>
      </c>
      <c r="I605" s="7" t="str">
        <f t="shared" si="28"/>
        <v>PASS</v>
      </c>
      <c r="J605" s="7" t="str">
        <f t="shared" si="29"/>
        <v>Low Risk</v>
      </c>
      <c r="L605" s="7" t="str">
        <f>IF(J605="High Risk",COUNTIF($J$3:J605,"High Risk"),"")</f>
        <v/>
      </c>
      <c r="M605" s="7">
        <f>RANK(H605,$H$3:$H$1002,0)+COUNTIF($H$3:H605,H605)-1</f>
        <v>106</v>
      </c>
    </row>
    <row r="606" spans="1:13" x14ac:dyDescent="0.35">
      <c r="A606" s="7" t="s">
        <v>1185</v>
      </c>
      <c r="B606" s="7" t="s">
        <v>263</v>
      </c>
      <c r="C606" s="8" t="s">
        <v>62</v>
      </c>
      <c r="D606" s="8" t="s">
        <v>57</v>
      </c>
      <c r="E606" s="8">
        <v>70.599999999999994</v>
      </c>
      <c r="F606" s="8">
        <v>4.5999999999999996</v>
      </c>
      <c r="G606" s="8">
        <v>47</v>
      </c>
      <c r="H606" s="7">
        <f t="shared" si="27"/>
        <v>53.8</v>
      </c>
      <c r="I606" s="7" t="str">
        <f t="shared" si="28"/>
        <v>PASS</v>
      </c>
      <c r="J606" s="7" t="str">
        <f t="shared" si="29"/>
        <v>Medium Risk</v>
      </c>
      <c r="L606" s="7" t="str">
        <f>IF(J606="High Risk",COUNTIF($J$3:J606,"High Risk"),"")</f>
        <v/>
      </c>
      <c r="M606" s="7">
        <f>RANK(H606,$H$3:$H$1002,0)+COUNTIF($H$3:H606,H606)-1</f>
        <v>736</v>
      </c>
    </row>
    <row r="607" spans="1:13" x14ac:dyDescent="0.35">
      <c r="A607" s="7" t="s">
        <v>1186</v>
      </c>
      <c r="B607" s="7" t="s">
        <v>1187</v>
      </c>
      <c r="C607" s="8" t="s">
        <v>62</v>
      </c>
      <c r="D607" s="8" t="s">
        <v>68</v>
      </c>
      <c r="E607" s="8">
        <v>83.5</v>
      </c>
      <c r="F607" s="8">
        <v>5.3</v>
      </c>
      <c r="G607" s="8">
        <v>70</v>
      </c>
      <c r="H607" s="7">
        <f t="shared" si="27"/>
        <v>69</v>
      </c>
      <c r="I607" s="7" t="str">
        <f t="shared" si="28"/>
        <v>PASS</v>
      </c>
      <c r="J607" s="7" t="str">
        <f t="shared" si="29"/>
        <v>Low Risk</v>
      </c>
      <c r="L607" s="7" t="str">
        <f>IF(J607="High Risk",COUNTIF($J$3:J607,"High Risk"),"")</f>
        <v/>
      </c>
      <c r="M607" s="7">
        <f>RANK(H607,$H$3:$H$1002,0)+COUNTIF($H$3:H607,H607)-1</f>
        <v>452</v>
      </c>
    </row>
    <row r="608" spans="1:13" x14ac:dyDescent="0.35">
      <c r="A608" s="7" t="s">
        <v>1188</v>
      </c>
      <c r="B608" s="7" t="s">
        <v>72</v>
      </c>
      <c r="C608" s="8" t="s">
        <v>56</v>
      </c>
      <c r="D608" s="8" t="s">
        <v>75</v>
      </c>
      <c r="E608" s="8">
        <v>58.8</v>
      </c>
      <c r="F608" s="8">
        <v>4.3</v>
      </c>
      <c r="G608" s="8">
        <v>42</v>
      </c>
      <c r="H608" s="7">
        <f t="shared" si="27"/>
        <v>47.3</v>
      </c>
      <c r="I608" s="7" t="str">
        <f t="shared" si="28"/>
        <v>FAIL</v>
      </c>
      <c r="J608" s="7" t="str">
        <f t="shared" si="29"/>
        <v>High Risk</v>
      </c>
      <c r="L608" s="7">
        <f>IF(J608="High Risk",COUNTIF($J$3:J608,"High Risk"),"")</f>
        <v>116</v>
      </c>
      <c r="M608" s="7">
        <f>RANK(H608,$H$3:$H$1002,0)+COUNTIF($H$3:H608,H608)-1</f>
        <v>831</v>
      </c>
    </row>
    <row r="609" spans="1:13" x14ac:dyDescent="0.35">
      <c r="A609" s="7" t="s">
        <v>1189</v>
      </c>
      <c r="B609" s="7" t="s">
        <v>1190</v>
      </c>
      <c r="C609" s="8" t="s">
        <v>62</v>
      </c>
      <c r="D609" s="8" t="s">
        <v>75</v>
      </c>
      <c r="E609" s="8">
        <v>99.7</v>
      </c>
      <c r="F609" s="8">
        <v>8.1999999999999993</v>
      </c>
      <c r="G609" s="8">
        <v>82</v>
      </c>
      <c r="H609" s="7">
        <f t="shared" si="27"/>
        <v>87.3</v>
      </c>
      <c r="I609" s="7" t="str">
        <f t="shared" si="28"/>
        <v>PASS</v>
      </c>
      <c r="J609" s="7" t="str">
        <f t="shared" si="29"/>
        <v>Low Risk</v>
      </c>
      <c r="L609" s="7" t="str">
        <f>IF(J609="High Risk",COUNTIF($J$3:J609,"High Risk"),"")</f>
        <v/>
      </c>
      <c r="M609" s="7">
        <f>RANK(H609,$H$3:$H$1002,0)+COUNTIF($H$3:H609,H609)-1</f>
        <v>136</v>
      </c>
    </row>
    <row r="610" spans="1:13" x14ac:dyDescent="0.35">
      <c r="A610" s="7" t="s">
        <v>1191</v>
      </c>
      <c r="B610" s="7" t="s">
        <v>1192</v>
      </c>
      <c r="C610" s="8" t="s">
        <v>62</v>
      </c>
      <c r="D610" s="8" t="s">
        <v>63</v>
      </c>
      <c r="E610" s="8">
        <v>75.900000000000006</v>
      </c>
      <c r="F610" s="8">
        <v>7.2</v>
      </c>
      <c r="G610" s="8">
        <v>73</v>
      </c>
      <c r="H610" s="7">
        <f t="shared" si="27"/>
        <v>73.599999999999994</v>
      </c>
      <c r="I610" s="7" t="str">
        <f t="shared" si="28"/>
        <v>PASS</v>
      </c>
      <c r="J610" s="7" t="str">
        <f t="shared" si="29"/>
        <v>Low Risk</v>
      </c>
      <c r="L610" s="7" t="str">
        <f>IF(J610="High Risk",COUNTIF($J$3:J610,"High Risk"),"")</f>
        <v/>
      </c>
      <c r="M610" s="7">
        <f>RANK(H610,$H$3:$H$1002,0)+COUNTIF($H$3:H610,H610)-1</f>
        <v>347</v>
      </c>
    </row>
    <row r="611" spans="1:13" x14ac:dyDescent="0.35">
      <c r="A611" s="7" t="s">
        <v>1193</v>
      </c>
      <c r="B611" s="7" t="s">
        <v>1194</v>
      </c>
      <c r="C611" s="8" t="s">
        <v>62</v>
      </c>
      <c r="D611" s="8" t="s">
        <v>63</v>
      </c>
      <c r="E611" s="8">
        <v>58.2</v>
      </c>
      <c r="F611" s="8">
        <v>6.4</v>
      </c>
      <c r="G611" s="8">
        <v>45</v>
      </c>
      <c r="H611" s="7">
        <f t="shared" si="27"/>
        <v>54.7</v>
      </c>
      <c r="I611" s="7" t="str">
        <f t="shared" si="28"/>
        <v>PASS</v>
      </c>
      <c r="J611" s="7" t="str">
        <f t="shared" si="29"/>
        <v>Medium Risk</v>
      </c>
      <c r="L611" s="7" t="str">
        <f>IF(J611="High Risk",COUNTIF($J$3:J611,"High Risk"),"")</f>
        <v/>
      </c>
      <c r="M611" s="7">
        <f>RANK(H611,$H$3:$H$1002,0)+COUNTIF($H$3:H611,H611)-1</f>
        <v>719</v>
      </c>
    </row>
    <row r="612" spans="1:13" x14ac:dyDescent="0.35">
      <c r="A612" s="7" t="s">
        <v>1195</v>
      </c>
      <c r="B612" s="7" t="s">
        <v>237</v>
      </c>
      <c r="C612" s="8" t="s">
        <v>62</v>
      </c>
      <c r="D612" s="8" t="s">
        <v>75</v>
      </c>
      <c r="E612" s="8">
        <v>67.8</v>
      </c>
      <c r="F612" s="8">
        <v>5.0999999999999996</v>
      </c>
      <c r="G612" s="8">
        <v>53</v>
      </c>
      <c r="H612" s="7">
        <f t="shared" si="27"/>
        <v>56.8</v>
      </c>
      <c r="I612" s="7" t="str">
        <f t="shared" si="28"/>
        <v>PASS</v>
      </c>
      <c r="J612" s="7" t="str">
        <f t="shared" si="29"/>
        <v>Medium Risk</v>
      </c>
      <c r="L612" s="7" t="str">
        <f>IF(J612="High Risk",COUNTIF($J$3:J612,"High Risk"),"")</f>
        <v/>
      </c>
      <c r="M612" s="7">
        <f>RANK(H612,$H$3:$H$1002,0)+COUNTIF($H$3:H612,H612)-1</f>
        <v>691</v>
      </c>
    </row>
    <row r="613" spans="1:13" x14ac:dyDescent="0.35">
      <c r="A613" s="7" t="s">
        <v>1196</v>
      </c>
      <c r="B613" s="7" t="s">
        <v>1197</v>
      </c>
      <c r="C613" s="8" t="s">
        <v>56</v>
      </c>
      <c r="D613" s="8" t="s">
        <v>68</v>
      </c>
      <c r="E613" s="8">
        <v>70</v>
      </c>
      <c r="F613" s="8">
        <v>6.1</v>
      </c>
      <c r="G613" s="8">
        <v>66</v>
      </c>
      <c r="H613" s="7">
        <f t="shared" si="27"/>
        <v>65.7</v>
      </c>
      <c r="I613" s="7" t="str">
        <f t="shared" si="28"/>
        <v>PASS</v>
      </c>
      <c r="J613" s="7" t="str">
        <f t="shared" si="29"/>
        <v>Low Risk</v>
      </c>
      <c r="L613" s="7" t="str">
        <f>IF(J613="High Risk",COUNTIF($J$3:J613,"High Risk"),"")</f>
        <v/>
      </c>
      <c r="M613" s="7">
        <f>RANK(H613,$H$3:$H$1002,0)+COUNTIF($H$3:H613,H613)-1</f>
        <v>520</v>
      </c>
    </row>
    <row r="614" spans="1:13" x14ac:dyDescent="0.35">
      <c r="A614" s="7" t="s">
        <v>1198</v>
      </c>
      <c r="B614" s="7" t="s">
        <v>1199</v>
      </c>
      <c r="C614" s="8" t="s">
        <v>56</v>
      </c>
      <c r="D614" s="8" t="s">
        <v>75</v>
      </c>
      <c r="E614" s="8">
        <v>100</v>
      </c>
      <c r="F614" s="8">
        <v>4.0999999999999996</v>
      </c>
      <c r="G614" s="8">
        <v>86</v>
      </c>
      <c r="H614" s="7">
        <f t="shared" si="27"/>
        <v>76.7</v>
      </c>
      <c r="I614" s="7" t="str">
        <f t="shared" si="28"/>
        <v>PASS</v>
      </c>
      <c r="J614" s="7" t="str">
        <f t="shared" si="29"/>
        <v>Low Risk</v>
      </c>
      <c r="L614" s="7" t="str">
        <f>IF(J614="High Risk",COUNTIF($J$3:J614,"High Risk"),"")</f>
        <v/>
      </c>
      <c r="M614" s="7">
        <f>RANK(H614,$H$3:$H$1002,0)+COUNTIF($H$3:H614,H614)-1</f>
        <v>294</v>
      </c>
    </row>
    <row r="615" spans="1:13" x14ac:dyDescent="0.35">
      <c r="A615" s="7" t="s">
        <v>1200</v>
      </c>
      <c r="B615" s="7" t="s">
        <v>1201</v>
      </c>
      <c r="C615" s="8" t="s">
        <v>56</v>
      </c>
      <c r="D615" s="8" t="s">
        <v>57</v>
      </c>
      <c r="E615" s="8">
        <v>43.7</v>
      </c>
      <c r="F615" s="8">
        <v>2.6</v>
      </c>
      <c r="G615" s="8">
        <v>52</v>
      </c>
      <c r="H615" s="7">
        <f t="shared" si="27"/>
        <v>41.7</v>
      </c>
      <c r="I615" s="7" t="str">
        <f t="shared" si="28"/>
        <v>FAIL</v>
      </c>
      <c r="J615" s="7" t="str">
        <f t="shared" si="29"/>
        <v>High Risk</v>
      </c>
      <c r="L615" s="7">
        <f>IF(J615="High Risk",COUNTIF($J$3:J615,"High Risk"),"")</f>
        <v>117</v>
      </c>
      <c r="M615" s="7">
        <f>RANK(H615,$H$3:$H$1002,0)+COUNTIF($H$3:H615,H615)-1</f>
        <v>887</v>
      </c>
    </row>
    <row r="616" spans="1:13" x14ac:dyDescent="0.35">
      <c r="A616" s="7" t="s">
        <v>1202</v>
      </c>
      <c r="B616" s="7" t="s">
        <v>1203</v>
      </c>
      <c r="C616" s="8" t="s">
        <v>62</v>
      </c>
      <c r="D616" s="8" t="s">
        <v>57</v>
      </c>
      <c r="E616" s="8">
        <v>65.099999999999994</v>
      </c>
      <c r="F616" s="8">
        <v>6.1</v>
      </c>
      <c r="G616" s="8">
        <v>57</v>
      </c>
      <c r="H616" s="7">
        <f t="shared" si="27"/>
        <v>60.6</v>
      </c>
      <c r="I616" s="7" t="str">
        <f t="shared" si="28"/>
        <v>PASS</v>
      </c>
      <c r="J616" s="7" t="str">
        <f t="shared" si="29"/>
        <v>Medium Risk</v>
      </c>
      <c r="L616" s="7" t="str">
        <f>IF(J616="High Risk",COUNTIF($J$3:J616,"High Risk"),"")</f>
        <v/>
      </c>
      <c r="M616" s="7">
        <f>RANK(H616,$H$3:$H$1002,0)+COUNTIF($H$3:H616,H616)-1</f>
        <v>608</v>
      </c>
    </row>
    <row r="617" spans="1:13" x14ac:dyDescent="0.35">
      <c r="A617" s="7" t="s">
        <v>1204</v>
      </c>
      <c r="B617" s="7" t="s">
        <v>1114</v>
      </c>
      <c r="C617" s="8" t="s">
        <v>62</v>
      </c>
      <c r="D617" s="8" t="s">
        <v>75</v>
      </c>
      <c r="E617" s="8">
        <v>85.6</v>
      </c>
      <c r="F617" s="8">
        <v>9.1</v>
      </c>
      <c r="G617" s="8">
        <v>88</v>
      </c>
      <c r="H617" s="7">
        <f t="shared" si="27"/>
        <v>88.2</v>
      </c>
      <c r="I617" s="7" t="str">
        <f t="shared" si="28"/>
        <v>PASS</v>
      </c>
      <c r="J617" s="7" t="str">
        <f t="shared" si="29"/>
        <v>Low Risk</v>
      </c>
      <c r="L617" s="7" t="str">
        <f>IF(J617="High Risk",COUNTIF($J$3:J617,"High Risk"),"")</f>
        <v/>
      </c>
      <c r="M617" s="7">
        <f>RANK(H617,$H$3:$H$1002,0)+COUNTIF($H$3:H617,H617)-1</f>
        <v>125</v>
      </c>
    </row>
    <row r="618" spans="1:13" x14ac:dyDescent="0.35">
      <c r="A618" s="7" t="s">
        <v>1205</v>
      </c>
      <c r="B618" s="7" t="s">
        <v>1206</v>
      </c>
      <c r="C618" s="8" t="s">
        <v>56</v>
      </c>
      <c r="D618" s="8" t="s">
        <v>75</v>
      </c>
      <c r="E618" s="8">
        <v>58.4</v>
      </c>
      <c r="F618" s="8">
        <v>3.6</v>
      </c>
      <c r="G618" s="8">
        <v>69</v>
      </c>
      <c r="H618" s="7">
        <f t="shared" si="27"/>
        <v>55.9</v>
      </c>
      <c r="I618" s="7" t="str">
        <f t="shared" si="28"/>
        <v>PASS</v>
      </c>
      <c r="J618" s="7" t="str">
        <f t="shared" si="29"/>
        <v>Medium Risk</v>
      </c>
      <c r="L618" s="7" t="str">
        <f>IF(J618="High Risk",COUNTIF($J$3:J618,"High Risk"),"")</f>
        <v/>
      </c>
      <c r="M618" s="7">
        <f>RANK(H618,$H$3:$H$1002,0)+COUNTIF($H$3:H618,H618)-1</f>
        <v>698</v>
      </c>
    </row>
    <row r="619" spans="1:13" x14ac:dyDescent="0.35">
      <c r="A619" s="7" t="s">
        <v>1207</v>
      </c>
      <c r="B619" s="7" t="s">
        <v>1208</v>
      </c>
      <c r="C619" s="8" t="s">
        <v>62</v>
      </c>
      <c r="D619" s="8" t="s">
        <v>75</v>
      </c>
      <c r="E619" s="8">
        <v>79.400000000000006</v>
      </c>
      <c r="F619" s="8">
        <v>5.5</v>
      </c>
      <c r="G619" s="8">
        <v>73</v>
      </c>
      <c r="H619" s="7">
        <f t="shared" si="27"/>
        <v>69.5</v>
      </c>
      <c r="I619" s="7" t="str">
        <f t="shared" si="28"/>
        <v>PASS</v>
      </c>
      <c r="J619" s="7" t="str">
        <f t="shared" si="29"/>
        <v>Low Risk</v>
      </c>
      <c r="L619" s="7" t="str">
        <f>IF(J619="High Risk",COUNTIF($J$3:J619,"High Risk"),"")</f>
        <v/>
      </c>
      <c r="M619" s="7">
        <f>RANK(H619,$H$3:$H$1002,0)+COUNTIF($H$3:H619,H619)-1</f>
        <v>442</v>
      </c>
    </row>
    <row r="620" spans="1:13" x14ac:dyDescent="0.35">
      <c r="A620" s="7" t="s">
        <v>1209</v>
      </c>
      <c r="B620" s="7" t="s">
        <v>1210</v>
      </c>
      <c r="C620" s="8" t="s">
        <v>56</v>
      </c>
      <c r="D620" s="8" t="s">
        <v>57</v>
      </c>
      <c r="E620" s="8">
        <v>72.400000000000006</v>
      </c>
      <c r="F620" s="8">
        <v>6.8</v>
      </c>
      <c r="G620" s="8">
        <v>83</v>
      </c>
      <c r="H620" s="7">
        <f t="shared" si="27"/>
        <v>75.3</v>
      </c>
      <c r="I620" s="7" t="str">
        <f t="shared" si="28"/>
        <v>PASS</v>
      </c>
      <c r="J620" s="7" t="str">
        <f t="shared" si="29"/>
        <v>Low Risk</v>
      </c>
      <c r="L620" s="7" t="str">
        <f>IF(J620="High Risk",COUNTIF($J$3:J620,"High Risk"),"")</f>
        <v/>
      </c>
      <c r="M620" s="7">
        <f>RANK(H620,$H$3:$H$1002,0)+COUNTIF($H$3:H620,H620)-1</f>
        <v>321</v>
      </c>
    </row>
    <row r="621" spans="1:13" x14ac:dyDescent="0.35">
      <c r="A621" s="7" t="s">
        <v>1211</v>
      </c>
      <c r="B621" s="7" t="s">
        <v>970</v>
      </c>
      <c r="C621" s="8" t="s">
        <v>56</v>
      </c>
      <c r="D621" s="8" t="s">
        <v>75</v>
      </c>
      <c r="E621" s="8">
        <v>68.7</v>
      </c>
      <c r="F621" s="8">
        <v>6.4</v>
      </c>
      <c r="G621" s="8">
        <v>53</v>
      </c>
      <c r="H621" s="7">
        <f t="shared" si="27"/>
        <v>61</v>
      </c>
      <c r="I621" s="7" t="str">
        <f t="shared" si="28"/>
        <v>PASS</v>
      </c>
      <c r="J621" s="7" t="str">
        <f t="shared" si="29"/>
        <v>Medium Risk</v>
      </c>
      <c r="L621" s="7" t="str">
        <f>IF(J621="High Risk",COUNTIF($J$3:J621,"High Risk"),"")</f>
        <v/>
      </c>
      <c r="M621" s="7">
        <f>RANK(H621,$H$3:$H$1002,0)+COUNTIF($H$3:H621,H621)-1</f>
        <v>603</v>
      </c>
    </row>
    <row r="622" spans="1:13" x14ac:dyDescent="0.35">
      <c r="A622" s="7" t="s">
        <v>1212</v>
      </c>
      <c r="B622" s="7" t="s">
        <v>1213</v>
      </c>
      <c r="C622" s="8" t="s">
        <v>56</v>
      </c>
      <c r="D622" s="8" t="s">
        <v>63</v>
      </c>
      <c r="E622" s="8">
        <v>100</v>
      </c>
      <c r="F622" s="8">
        <v>6.7</v>
      </c>
      <c r="G622" s="8">
        <v>79</v>
      </c>
      <c r="H622" s="7">
        <f t="shared" si="27"/>
        <v>81.7</v>
      </c>
      <c r="I622" s="7" t="str">
        <f t="shared" si="28"/>
        <v>PASS</v>
      </c>
      <c r="J622" s="7" t="str">
        <f t="shared" si="29"/>
        <v>Low Risk</v>
      </c>
      <c r="L622" s="7" t="str">
        <f>IF(J622="High Risk",COUNTIF($J$3:J622,"High Risk"),"")</f>
        <v/>
      </c>
      <c r="M622" s="7">
        <f>RANK(H622,$H$3:$H$1002,0)+COUNTIF($H$3:H622,H622)-1</f>
        <v>221</v>
      </c>
    </row>
    <row r="623" spans="1:13" x14ac:dyDescent="0.35">
      <c r="A623" s="7" t="s">
        <v>1214</v>
      </c>
      <c r="B623" s="7" t="s">
        <v>1215</v>
      </c>
      <c r="C623" s="8" t="s">
        <v>62</v>
      </c>
      <c r="D623" s="8" t="s">
        <v>57</v>
      </c>
      <c r="E623" s="8">
        <v>98.8</v>
      </c>
      <c r="F623" s="8">
        <v>5.9</v>
      </c>
      <c r="G623" s="8">
        <v>82</v>
      </c>
      <c r="H623" s="7">
        <f t="shared" si="27"/>
        <v>80.099999999999994</v>
      </c>
      <c r="I623" s="7" t="str">
        <f t="shared" si="28"/>
        <v>PASS</v>
      </c>
      <c r="J623" s="7" t="str">
        <f t="shared" si="29"/>
        <v>Low Risk</v>
      </c>
      <c r="L623" s="7" t="str">
        <f>IF(J623="High Risk",COUNTIF($J$3:J623,"High Risk"),"")</f>
        <v/>
      </c>
      <c r="M623" s="7">
        <f>RANK(H623,$H$3:$H$1002,0)+COUNTIF($H$3:H623,H623)-1</f>
        <v>245</v>
      </c>
    </row>
    <row r="624" spans="1:13" x14ac:dyDescent="0.35">
      <c r="A624" s="7" t="s">
        <v>1216</v>
      </c>
      <c r="B624" s="7" t="s">
        <v>1217</v>
      </c>
      <c r="C624" s="8" t="s">
        <v>62</v>
      </c>
      <c r="D624" s="8" t="s">
        <v>63</v>
      </c>
      <c r="E624" s="8">
        <v>72.900000000000006</v>
      </c>
      <c r="F624" s="8">
        <v>7.6</v>
      </c>
      <c r="G624" s="8">
        <v>67</v>
      </c>
      <c r="H624" s="7">
        <f t="shared" si="27"/>
        <v>71.5</v>
      </c>
      <c r="I624" s="7" t="str">
        <f t="shared" si="28"/>
        <v>PASS</v>
      </c>
      <c r="J624" s="7" t="str">
        <f t="shared" si="29"/>
        <v>Low Risk</v>
      </c>
      <c r="L624" s="7" t="str">
        <f>IF(J624="High Risk",COUNTIF($J$3:J624,"High Risk"),"")</f>
        <v/>
      </c>
      <c r="M624" s="7">
        <f>RANK(H624,$H$3:$H$1002,0)+COUNTIF($H$3:H624,H624)-1</f>
        <v>398</v>
      </c>
    </row>
    <row r="625" spans="1:13" x14ac:dyDescent="0.35">
      <c r="A625" s="7" t="s">
        <v>1218</v>
      </c>
      <c r="B625" s="7" t="s">
        <v>1219</v>
      </c>
      <c r="C625" s="8" t="s">
        <v>62</v>
      </c>
      <c r="D625" s="8" t="s">
        <v>75</v>
      </c>
      <c r="E625" s="8">
        <v>56.4</v>
      </c>
      <c r="F625" s="8">
        <v>0.7</v>
      </c>
      <c r="G625" s="8">
        <v>43</v>
      </c>
      <c r="H625" s="7">
        <f t="shared" si="27"/>
        <v>36.200000000000003</v>
      </c>
      <c r="I625" s="7" t="str">
        <f t="shared" si="28"/>
        <v>FAIL</v>
      </c>
      <c r="J625" s="7" t="str">
        <f t="shared" si="29"/>
        <v>High Risk</v>
      </c>
      <c r="L625" s="7">
        <f>IF(J625="High Risk",COUNTIF($J$3:J625,"High Risk"),"")</f>
        <v>118</v>
      </c>
      <c r="M625" s="7">
        <f>RANK(H625,$H$3:$H$1002,0)+COUNTIF($H$3:H625,H625)-1</f>
        <v>938</v>
      </c>
    </row>
    <row r="626" spans="1:13" x14ac:dyDescent="0.35">
      <c r="A626" s="7" t="s">
        <v>1220</v>
      </c>
      <c r="B626" s="7" t="s">
        <v>1221</v>
      </c>
      <c r="C626" s="8" t="s">
        <v>56</v>
      </c>
      <c r="D626" s="8" t="s">
        <v>57</v>
      </c>
      <c r="E626" s="8">
        <v>85.9</v>
      </c>
      <c r="F626" s="8">
        <v>9.4</v>
      </c>
      <c r="G626" s="8">
        <v>82</v>
      </c>
      <c r="H626" s="7">
        <f t="shared" si="27"/>
        <v>86.8</v>
      </c>
      <c r="I626" s="7" t="str">
        <f t="shared" si="28"/>
        <v>PASS</v>
      </c>
      <c r="J626" s="7" t="str">
        <f t="shared" si="29"/>
        <v>Low Risk</v>
      </c>
      <c r="L626" s="7" t="str">
        <f>IF(J626="High Risk",COUNTIF($J$3:J626,"High Risk"),"")</f>
        <v/>
      </c>
      <c r="M626" s="7">
        <f>RANK(H626,$H$3:$H$1002,0)+COUNTIF($H$3:H626,H626)-1</f>
        <v>142</v>
      </c>
    </row>
    <row r="627" spans="1:13" x14ac:dyDescent="0.35">
      <c r="A627" s="7" t="s">
        <v>1222</v>
      </c>
      <c r="B627" s="7" t="s">
        <v>105</v>
      </c>
      <c r="C627" s="8" t="s">
        <v>56</v>
      </c>
      <c r="D627" s="8" t="s">
        <v>57</v>
      </c>
      <c r="E627" s="8">
        <v>61.6</v>
      </c>
      <c r="F627" s="8">
        <v>2.5</v>
      </c>
      <c r="G627" s="8">
        <v>63</v>
      </c>
      <c r="H627" s="7">
        <f t="shared" si="27"/>
        <v>51.2</v>
      </c>
      <c r="I627" s="7" t="str">
        <f t="shared" si="28"/>
        <v>PASS</v>
      </c>
      <c r="J627" s="7" t="str">
        <f t="shared" si="29"/>
        <v>Medium Risk</v>
      </c>
      <c r="L627" s="7" t="str">
        <f>IF(J627="High Risk",COUNTIF($J$3:J627,"High Risk"),"")</f>
        <v/>
      </c>
      <c r="M627" s="7">
        <f>RANK(H627,$H$3:$H$1002,0)+COUNTIF($H$3:H627,H627)-1</f>
        <v>783</v>
      </c>
    </row>
    <row r="628" spans="1:13" x14ac:dyDescent="0.35">
      <c r="A628" s="7" t="s">
        <v>1223</v>
      </c>
      <c r="B628" s="7" t="s">
        <v>1224</v>
      </c>
      <c r="C628" s="8" t="s">
        <v>62</v>
      </c>
      <c r="D628" s="8" t="s">
        <v>68</v>
      </c>
      <c r="E628" s="8">
        <v>74.5</v>
      </c>
      <c r="F628" s="8">
        <v>4.3</v>
      </c>
      <c r="G628" s="8">
        <v>50</v>
      </c>
      <c r="H628" s="7">
        <f t="shared" si="27"/>
        <v>55.3</v>
      </c>
      <c r="I628" s="7" t="str">
        <f t="shared" si="28"/>
        <v>PASS</v>
      </c>
      <c r="J628" s="7" t="str">
        <f t="shared" si="29"/>
        <v>Medium Risk</v>
      </c>
      <c r="L628" s="7" t="str">
        <f>IF(J628="High Risk",COUNTIF($J$3:J628,"High Risk"),"")</f>
        <v/>
      </c>
      <c r="M628" s="7">
        <f>RANK(H628,$H$3:$H$1002,0)+COUNTIF($H$3:H628,H628)-1</f>
        <v>707</v>
      </c>
    </row>
    <row r="629" spans="1:13" x14ac:dyDescent="0.35">
      <c r="A629" s="7" t="s">
        <v>1225</v>
      </c>
      <c r="B629" s="7" t="s">
        <v>1226</v>
      </c>
      <c r="C629" s="8" t="s">
        <v>62</v>
      </c>
      <c r="D629" s="8" t="s">
        <v>75</v>
      </c>
      <c r="E629" s="8">
        <v>99.6</v>
      </c>
      <c r="F629" s="8">
        <v>9.1</v>
      </c>
      <c r="G629" s="8">
        <v>63</v>
      </c>
      <c r="H629" s="7">
        <f t="shared" si="27"/>
        <v>82.4</v>
      </c>
      <c r="I629" s="7" t="str">
        <f t="shared" si="28"/>
        <v>PASS</v>
      </c>
      <c r="J629" s="7" t="str">
        <f t="shared" si="29"/>
        <v>Low Risk</v>
      </c>
      <c r="L629" s="7" t="str">
        <f>IF(J629="High Risk",COUNTIF($J$3:J629,"High Risk"),"")</f>
        <v/>
      </c>
      <c r="M629" s="7">
        <f>RANK(H629,$H$3:$H$1002,0)+COUNTIF($H$3:H629,H629)-1</f>
        <v>208</v>
      </c>
    </row>
    <row r="630" spans="1:13" x14ac:dyDescent="0.35">
      <c r="A630" s="7" t="s">
        <v>1227</v>
      </c>
      <c r="B630" s="7" t="s">
        <v>1228</v>
      </c>
      <c r="C630" s="8" t="s">
        <v>56</v>
      </c>
      <c r="D630" s="8" t="s">
        <v>57</v>
      </c>
      <c r="E630" s="8">
        <v>68.599999999999994</v>
      </c>
      <c r="F630" s="8">
        <v>6.3</v>
      </c>
      <c r="G630" s="8">
        <v>65</v>
      </c>
      <c r="H630" s="7">
        <f t="shared" si="27"/>
        <v>65.5</v>
      </c>
      <c r="I630" s="7" t="str">
        <f t="shared" si="28"/>
        <v>PASS</v>
      </c>
      <c r="J630" s="7" t="str">
        <f t="shared" si="29"/>
        <v>Low Risk</v>
      </c>
      <c r="L630" s="7" t="str">
        <f>IF(J630="High Risk",COUNTIF($J$3:J630,"High Risk"),"")</f>
        <v/>
      </c>
      <c r="M630" s="7">
        <f>RANK(H630,$H$3:$H$1002,0)+COUNTIF($H$3:H630,H630)-1</f>
        <v>522</v>
      </c>
    </row>
    <row r="631" spans="1:13" x14ac:dyDescent="0.35">
      <c r="A631" s="7" t="s">
        <v>1229</v>
      </c>
      <c r="B631" s="7" t="s">
        <v>1230</v>
      </c>
      <c r="C631" s="8" t="s">
        <v>62</v>
      </c>
      <c r="D631" s="8" t="s">
        <v>57</v>
      </c>
      <c r="E631" s="8">
        <v>65.099999999999994</v>
      </c>
      <c r="F631" s="8">
        <v>1.6</v>
      </c>
      <c r="G631" s="8">
        <v>71</v>
      </c>
      <c r="H631" s="7">
        <f t="shared" si="27"/>
        <v>52.7</v>
      </c>
      <c r="I631" s="7" t="str">
        <f t="shared" si="28"/>
        <v>PASS</v>
      </c>
      <c r="J631" s="7" t="str">
        <f t="shared" si="29"/>
        <v>Medium Risk</v>
      </c>
      <c r="L631" s="7" t="str">
        <f>IF(J631="High Risk",COUNTIF($J$3:J631,"High Risk"),"")</f>
        <v/>
      </c>
      <c r="M631" s="7">
        <f>RANK(H631,$H$3:$H$1002,0)+COUNTIF($H$3:H631,H631)-1</f>
        <v>757</v>
      </c>
    </row>
    <row r="632" spans="1:13" x14ac:dyDescent="0.35">
      <c r="A632" s="7" t="s">
        <v>1231</v>
      </c>
      <c r="B632" s="7" t="s">
        <v>687</v>
      </c>
      <c r="C632" s="8" t="s">
        <v>62</v>
      </c>
      <c r="D632" s="8" t="s">
        <v>63</v>
      </c>
      <c r="E632" s="8">
        <v>64.3</v>
      </c>
      <c r="F632" s="8">
        <v>7.4</v>
      </c>
      <c r="G632" s="8">
        <v>70</v>
      </c>
      <c r="H632" s="7">
        <f t="shared" si="27"/>
        <v>69.5</v>
      </c>
      <c r="I632" s="7" t="str">
        <f t="shared" si="28"/>
        <v>PASS</v>
      </c>
      <c r="J632" s="7" t="str">
        <f t="shared" si="29"/>
        <v>Low Risk</v>
      </c>
      <c r="L632" s="7" t="str">
        <f>IF(J632="High Risk",COUNTIF($J$3:J632,"High Risk"),"")</f>
        <v/>
      </c>
      <c r="M632" s="7">
        <f>RANK(H632,$H$3:$H$1002,0)+COUNTIF($H$3:H632,H632)-1</f>
        <v>443</v>
      </c>
    </row>
    <row r="633" spans="1:13" x14ac:dyDescent="0.35">
      <c r="A633" s="7" t="s">
        <v>1232</v>
      </c>
      <c r="B633" s="7" t="s">
        <v>1233</v>
      </c>
      <c r="C633" s="8" t="s">
        <v>62</v>
      </c>
      <c r="D633" s="8" t="s">
        <v>68</v>
      </c>
      <c r="E633" s="8">
        <v>77.599999999999994</v>
      </c>
      <c r="F633" s="8">
        <v>9.1</v>
      </c>
      <c r="G633" s="8">
        <v>78</v>
      </c>
      <c r="H633" s="7">
        <f t="shared" si="27"/>
        <v>81.8</v>
      </c>
      <c r="I633" s="7" t="str">
        <f t="shared" si="28"/>
        <v>PASS</v>
      </c>
      <c r="J633" s="7" t="str">
        <f t="shared" si="29"/>
        <v>Low Risk</v>
      </c>
      <c r="L633" s="7" t="str">
        <f>IF(J633="High Risk",COUNTIF($J$3:J633,"High Risk"),"")</f>
        <v/>
      </c>
      <c r="M633" s="7">
        <f>RANK(H633,$H$3:$H$1002,0)+COUNTIF($H$3:H633,H633)-1</f>
        <v>216</v>
      </c>
    </row>
    <row r="634" spans="1:13" x14ac:dyDescent="0.35">
      <c r="A634" s="7" t="s">
        <v>1234</v>
      </c>
      <c r="B634" s="7" t="s">
        <v>152</v>
      </c>
      <c r="C634" s="8" t="s">
        <v>62</v>
      </c>
      <c r="D634" s="8" t="s">
        <v>68</v>
      </c>
      <c r="E634" s="8">
        <v>57.9</v>
      </c>
      <c r="F634" s="8">
        <v>4</v>
      </c>
      <c r="G634" s="8">
        <v>70</v>
      </c>
      <c r="H634" s="7">
        <f t="shared" si="27"/>
        <v>57.4</v>
      </c>
      <c r="I634" s="7" t="str">
        <f t="shared" si="28"/>
        <v>PASS</v>
      </c>
      <c r="J634" s="7" t="str">
        <f t="shared" si="29"/>
        <v>Medium Risk</v>
      </c>
      <c r="L634" s="7" t="str">
        <f>IF(J634="High Risk",COUNTIF($J$3:J634,"High Risk"),"")</f>
        <v/>
      </c>
      <c r="M634" s="7">
        <f>RANK(H634,$H$3:$H$1002,0)+COUNTIF($H$3:H634,H634)-1</f>
        <v>676</v>
      </c>
    </row>
    <row r="635" spans="1:13" x14ac:dyDescent="0.35">
      <c r="A635" s="7" t="s">
        <v>1235</v>
      </c>
      <c r="B635" s="7" t="s">
        <v>1236</v>
      </c>
      <c r="C635" s="8" t="s">
        <v>62</v>
      </c>
      <c r="D635" s="8" t="s">
        <v>57</v>
      </c>
      <c r="E635" s="8">
        <v>70.5</v>
      </c>
      <c r="F635" s="8">
        <v>3.5</v>
      </c>
      <c r="G635" s="8">
        <v>66</v>
      </c>
      <c r="H635" s="7">
        <f t="shared" si="27"/>
        <v>58.1</v>
      </c>
      <c r="I635" s="7" t="str">
        <f t="shared" si="28"/>
        <v>PASS</v>
      </c>
      <c r="J635" s="7" t="str">
        <f t="shared" si="29"/>
        <v>Medium Risk</v>
      </c>
      <c r="L635" s="7" t="str">
        <f>IF(J635="High Risk",COUNTIF($J$3:J635,"High Risk"),"")</f>
        <v/>
      </c>
      <c r="M635" s="7">
        <f>RANK(H635,$H$3:$H$1002,0)+COUNTIF($H$3:H635,H635)-1</f>
        <v>659</v>
      </c>
    </row>
    <row r="636" spans="1:13" x14ac:dyDescent="0.35">
      <c r="A636" s="7" t="s">
        <v>1237</v>
      </c>
      <c r="B636" s="7" t="s">
        <v>1238</v>
      </c>
      <c r="C636" s="8" t="s">
        <v>62</v>
      </c>
      <c r="D636" s="8" t="s">
        <v>63</v>
      </c>
      <c r="E636" s="8">
        <v>99.3</v>
      </c>
      <c r="F636" s="8">
        <v>8.4</v>
      </c>
      <c r="G636" s="8">
        <v>73</v>
      </c>
      <c r="H636" s="7">
        <f t="shared" si="27"/>
        <v>84.2</v>
      </c>
      <c r="I636" s="7" t="str">
        <f t="shared" si="28"/>
        <v>PASS</v>
      </c>
      <c r="J636" s="7" t="str">
        <f t="shared" si="29"/>
        <v>Low Risk</v>
      </c>
      <c r="L636" s="7" t="str">
        <f>IF(J636="High Risk",COUNTIF($J$3:J636,"High Risk"),"")</f>
        <v/>
      </c>
      <c r="M636" s="7">
        <f>RANK(H636,$H$3:$H$1002,0)+COUNTIF($H$3:H636,H636)-1</f>
        <v>179</v>
      </c>
    </row>
    <row r="637" spans="1:13" x14ac:dyDescent="0.35">
      <c r="A637" s="7" t="s">
        <v>1239</v>
      </c>
      <c r="B637" s="7" t="s">
        <v>198</v>
      </c>
      <c r="C637" s="8" t="s">
        <v>56</v>
      </c>
      <c r="D637" s="8" t="s">
        <v>75</v>
      </c>
      <c r="E637" s="8">
        <v>50.7</v>
      </c>
      <c r="F637" s="8">
        <v>0.5</v>
      </c>
      <c r="G637" s="8">
        <v>57</v>
      </c>
      <c r="H637" s="7">
        <f t="shared" si="27"/>
        <v>39.5</v>
      </c>
      <c r="I637" s="7" t="str">
        <f t="shared" si="28"/>
        <v>FAIL</v>
      </c>
      <c r="J637" s="7" t="str">
        <f t="shared" si="29"/>
        <v>High Risk</v>
      </c>
      <c r="L637" s="7">
        <f>IF(J637="High Risk",COUNTIF($J$3:J637,"High Risk"),"")</f>
        <v>119</v>
      </c>
      <c r="M637" s="7">
        <f>RANK(H637,$H$3:$H$1002,0)+COUNTIF($H$3:H637,H637)-1</f>
        <v>907</v>
      </c>
    </row>
    <row r="638" spans="1:13" x14ac:dyDescent="0.35">
      <c r="A638" s="7" t="s">
        <v>1240</v>
      </c>
      <c r="B638" s="7" t="s">
        <v>1129</v>
      </c>
      <c r="C638" s="8" t="s">
        <v>56</v>
      </c>
      <c r="D638" s="8" t="s">
        <v>75</v>
      </c>
      <c r="E638" s="8">
        <v>67.2</v>
      </c>
      <c r="F638" s="8">
        <v>8.4</v>
      </c>
      <c r="G638" s="8">
        <v>66</v>
      </c>
      <c r="H638" s="7">
        <f t="shared" si="27"/>
        <v>71.8</v>
      </c>
      <c r="I638" s="7" t="str">
        <f t="shared" si="28"/>
        <v>PASS</v>
      </c>
      <c r="J638" s="7" t="str">
        <f t="shared" si="29"/>
        <v>Low Risk</v>
      </c>
      <c r="L638" s="7" t="str">
        <f>IF(J638="High Risk",COUNTIF($J$3:J638,"High Risk"),"")</f>
        <v/>
      </c>
      <c r="M638" s="7">
        <f>RANK(H638,$H$3:$H$1002,0)+COUNTIF($H$3:H638,H638)-1</f>
        <v>394</v>
      </c>
    </row>
    <row r="639" spans="1:13" x14ac:dyDescent="0.35">
      <c r="A639" s="7" t="s">
        <v>1241</v>
      </c>
      <c r="B639" s="7" t="s">
        <v>1242</v>
      </c>
      <c r="C639" s="8" t="s">
        <v>62</v>
      </c>
      <c r="D639" s="8" t="s">
        <v>75</v>
      </c>
      <c r="E639" s="8">
        <v>53.8</v>
      </c>
      <c r="F639" s="8">
        <v>2.2000000000000002</v>
      </c>
      <c r="G639" s="8">
        <v>55</v>
      </c>
      <c r="H639" s="7">
        <f t="shared" si="27"/>
        <v>44.7</v>
      </c>
      <c r="I639" s="7" t="str">
        <f t="shared" si="28"/>
        <v>FAIL</v>
      </c>
      <c r="J639" s="7" t="str">
        <f t="shared" si="29"/>
        <v>High Risk</v>
      </c>
      <c r="L639" s="7">
        <f>IF(J639="High Risk",COUNTIF($J$3:J639,"High Risk"),"")</f>
        <v>120</v>
      </c>
      <c r="M639" s="7">
        <f>RANK(H639,$H$3:$H$1002,0)+COUNTIF($H$3:H639,H639)-1</f>
        <v>854</v>
      </c>
    </row>
    <row r="640" spans="1:13" x14ac:dyDescent="0.35">
      <c r="A640" s="7" t="s">
        <v>1243</v>
      </c>
      <c r="B640" s="7" t="s">
        <v>1244</v>
      </c>
      <c r="C640" s="8" t="s">
        <v>56</v>
      </c>
      <c r="D640" s="8" t="s">
        <v>57</v>
      </c>
      <c r="E640" s="8">
        <v>77.7</v>
      </c>
      <c r="F640" s="8">
        <v>5.4</v>
      </c>
      <c r="G640" s="8">
        <v>62</v>
      </c>
      <c r="H640" s="7">
        <f t="shared" si="27"/>
        <v>64.3</v>
      </c>
      <c r="I640" s="7" t="str">
        <f t="shared" si="28"/>
        <v>PASS</v>
      </c>
      <c r="J640" s="7" t="str">
        <f t="shared" si="29"/>
        <v>Medium Risk</v>
      </c>
      <c r="L640" s="7" t="str">
        <f>IF(J640="High Risk",COUNTIF($J$3:J640,"High Risk"),"")</f>
        <v/>
      </c>
      <c r="M640" s="7">
        <f>RANK(H640,$H$3:$H$1002,0)+COUNTIF($H$3:H640,H640)-1</f>
        <v>542</v>
      </c>
    </row>
    <row r="641" spans="1:13" x14ac:dyDescent="0.35">
      <c r="A641" s="7" t="s">
        <v>1245</v>
      </c>
      <c r="B641" s="7" t="s">
        <v>1246</v>
      </c>
      <c r="C641" s="8" t="s">
        <v>62</v>
      </c>
      <c r="D641" s="8" t="s">
        <v>68</v>
      </c>
      <c r="E641" s="8">
        <v>59.4</v>
      </c>
      <c r="F641" s="8">
        <v>3.1</v>
      </c>
      <c r="G641" s="8">
        <v>50</v>
      </c>
      <c r="H641" s="7">
        <f t="shared" si="27"/>
        <v>47.1</v>
      </c>
      <c r="I641" s="7" t="str">
        <f t="shared" si="28"/>
        <v>FAIL</v>
      </c>
      <c r="J641" s="7" t="str">
        <f t="shared" si="29"/>
        <v>High Risk</v>
      </c>
      <c r="L641" s="7">
        <f>IF(J641="High Risk",COUNTIF($J$3:J641,"High Risk"),"")</f>
        <v>121</v>
      </c>
      <c r="M641" s="7">
        <f>RANK(H641,$H$3:$H$1002,0)+COUNTIF($H$3:H641,H641)-1</f>
        <v>834</v>
      </c>
    </row>
    <row r="642" spans="1:13" x14ac:dyDescent="0.35">
      <c r="A642" s="7" t="s">
        <v>1247</v>
      </c>
      <c r="B642" s="7" t="s">
        <v>1248</v>
      </c>
      <c r="C642" s="8" t="s">
        <v>56</v>
      </c>
      <c r="D642" s="8" t="s">
        <v>68</v>
      </c>
      <c r="E642" s="8">
        <v>94.7</v>
      </c>
      <c r="F642" s="8">
        <v>7.5</v>
      </c>
      <c r="G642" s="8">
        <v>69</v>
      </c>
      <c r="H642" s="7">
        <f t="shared" si="27"/>
        <v>78.5</v>
      </c>
      <c r="I642" s="7" t="str">
        <f t="shared" si="28"/>
        <v>PASS</v>
      </c>
      <c r="J642" s="7" t="str">
        <f t="shared" si="29"/>
        <v>Low Risk</v>
      </c>
      <c r="L642" s="7" t="str">
        <f>IF(J642="High Risk",COUNTIF($J$3:J642,"High Risk"),"")</f>
        <v/>
      </c>
      <c r="M642" s="7">
        <f>RANK(H642,$H$3:$H$1002,0)+COUNTIF($H$3:H642,H642)-1</f>
        <v>270</v>
      </c>
    </row>
    <row r="643" spans="1:13" x14ac:dyDescent="0.35">
      <c r="A643" s="7" t="s">
        <v>1249</v>
      </c>
      <c r="B643" s="7" t="s">
        <v>1250</v>
      </c>
      <c r="C643" s="8" t="s">
        <v>62</v>
      </c>
      <c r="D643" s="8" t="s">
        <v>63</v>
      </c>
      <c r="E643" s="8">
        <v>95.3</v>
      </c>
      <c r="F643" s="8">
        <v>11.5</v>
      </c>
      <c r="G643" s="8">
        <v>84</v>
      </c>
      <c r="H643" s="7">
        <f t="shared" ref="H643:H706" si="30">ROUND(0.4*G643+0.3*E643+0.3*MIN(F643/10,1)*100,1)</f>
        <v>92.2</v>
      </c>
      <c r="I643" s="7" t="str">
        <f t="shared" ref="I643:I706" si="31">IF(H643&gt;=50,"PASS","FAIL")</f>
        <v>PASS</v>
      </c>
      <c r="J643" s="7" t="str">
        <f t="shared" ref="J643:J706" si="32">IF(H643&lt;50,"High Risk",IF(H643&lt;65,"Medium Risk","Low Risk"))</f>
        <v>Low Risk</v>
      </c>
      <c r="L643" s="7" t="str">
        <f>IF(J643="High Risk",COUNTIF($J$3:J643,"High Risk"),"")</f>
        <v/>
      </c>
      <c r="M643" s="7">
        <f>RANK(H643,$H$3:$H$1002,0)+COUNTIF($H$3:H643,H643)-1</f>
        <v>79</v>
      </c>
    </row>
    <row r="644" spans="1:13" x14ac:dyDescent="0.35">
      <c r="A644" s="7" t="s">
        <v>1251</v>
      </c>
      <c r="B644" s="7" t="s">
        <v>1252</v>
      </c>
      <c r="C644" s="8" t="s">
        <v>56</v>
      </c>
      <c r="D644" s="8" t="s">
        <v>57</v>
      </c>
      <c r="E644" s="8">
        <v>85.9</v>
      </c>
      <c r="F644" s="8">
        <v>9.8000000000000007</v>
      </c>
      <c r="G644" s="8">
        <v>75</v>
      </c>
      <c r="H644" s="7">
        <f t="shared" si="30"/>
        <v>85.2</v>
      </c>
      <c r="I644" s="7" t="str">
        <f t="shared" si="31"/>
        <v>PASS</v>
      </c>
      <c r="J644" s="7" t="str">
        <f t="shared" si="32"/>
        <v>Low Risk</v>
      </c>
      <c r="L644" s="7" t="str">
        <f>IF(J644="High Risk",COUNTIF($J$3:J644,"High Risk"),"")</f>
        <v/>
      </c>
      <c r="M644" s="7">
        <f>RANK(H644,$H$3:$H$1002,0)+COUNTIF($H$3:H644,H644)-1</f>
        <v>165</v>
      </c>
    </row>
    <row r="645" spans="1:13" x14ac:dyDescent="0.35">
      <c r="A645" s="7" t="s">
        <v>1253</v>
      </c>
      <c r="B645" s="7" t="s">
        <v>636</v>
      </c>
      <c r="C645" s="8" t="s">
        <v>62</v>
      </c>
      <c r="D645" s="8" t="s">
        <v>75</v>
      </c>
      <c r="E645" s="8">
        <v>65.7</v>
      </c>
      <c r="F645" s="8">
        <v>3.8</v>
      </c>
      <c r="G645" s="8">
        <v>69</v>
      </c>
      <c r="H645" s="7">
        <f t="shared" si="30"/>
        <v>58.7</v>
      </c>
      <c r="I645" s="7" t="str">
        <f t="shared" si="31"/>
        <v>PASS</v>
      </c>
      <c r="J645" s="7" t="str">
        <f t="shared" si="32"/>
        <v>Medium Risk</v>
      </c>
      <c r="L645" s="7" t="str">
        <f>IF(J645="High Risk",COUNTIF($J$3:J645,"High Risk"),"")</f>
        <v/>
      </c>
      <c r="M645" s="7">
        <f>RANK(H645,$H$3:$H$1002,0)+COUNTIF($H$3:H645,H645)-1</f>
        <v>649</v>
      </c>
    </row>
    <row r="646" spans="1:13" x14ac:dyDescent="0.35">
      <c r="A646" s="7" t="s">
        <v>1254</v>
      </c>
      <c r="B646" s="7" t="s">
        <v>1255</v>
      </c>
      <c r="C646" s="8" t="s">
        <v>56</v>
      </c>
      <c r="D646" s="8" t="s">
        <v>68</v>
      </c>
      <c r="E646" s="8">
        <v>40.5</v>
      </c>
      <c r="F646" s="8">
        <v>3.8</v>
      </c>
      <c r="G646" s="8">
        <v>39</v>
      </c>
      <c r="H646" s="7">
        <f t="shared" si="30"/>
        <v>39.200000000000003</v>
      </c>
      <c r="I646" s="7" t="str">
        <f t="shared" si="31"/>
        <v>FAIL</v>
      </c>
      <c r="J646" s="7" t="str">
        <f t="shared" si="32"/>
        <v>High Risk</v>
      </c>
      <c r="L646" s="7">
        <f>IF(J646="High Risk",COUNTIF($J$3:J646,"High Risk"),"")</f>
        <v>122</v>
      </c>
      <c r="M646" s="7">
        <f>RANK(H646,$H$3:$H$1002,0)+COUNTIF($H$3:H646,H646)-1</f>
        <v>911</v>
      </c>
    </row>
    <row r="647" spans="1:13" x14ac:dyDescent="0.35">
      <c r="A647" s="7" t="s">
        <v>1256</v>
      </c>
      <c r="B647" s="7" t="s">
        <v>482</v>
      </c>
      <c r="C647" s="8" t="s">
        <v>56</v>
      </c>
      <c r="D647" s="8" t="s">
        <v>63</v>
      </c>
      <c r="E647" s="8">
        <v>87.1</v>
      </c>
      <c r="F647" s="8">
        <v>9.8000000000000007</v>
      </c>
      <c r="G647" s="8">
        <v>84</v>
      </c>
      <c r="H647" s="7">
        <f t="shared" si="30"/>
        <v>89.1</v>
      </c>
      <c r="I647" s="7" t="str">
        <f t="shared" si="31"/>
        <v>PASS</v>
      </c>
      <c r="J647" s="7" t="str">
        <f t="shared" si="32"/>
        <v>Low Risk</v>
      </c>
      <c r="L647" s="7" t="str">
        <f>IF(J647="High Risk",COUNTIF($J$3:J647,"High Risk"),"")</f>
        <v/>
      </c>
      <c r="M647" s="7">
        <f>RANK(H647,$H$3:$H$1002,0)+COUNTIF($H$3:H647,H647)-1</f>
        <v>115</v>
      </c>
    </row>
    <row r="648" spans="1:13" x14ac:dyDescent="0.35">
      <c r="A648" s="7" t="s">
        <v>1257</v>
      </c>
      <c r="B648" s="7" t="s">
        <v>522</v>
      </c>
      <c r="C648" s="8" t="s">
        <v>62</v>
      </c>
      <c r="D648" s="8" t="s">
        <v>63</v>
      </c>
      <c r="E648" s="8">
        <v>75.3</v>
      </c>
      <c r="F648" s="8">
        <v>7</v>
      </c>
      <c r="G648" s="8">
        <v>76</v>
      </c>
      <c r="H648" s="7">
        <f t="shared" si="30"/>
        <v>74</v>
      </c>
      <c r="I648" s="7" t="str">
        <f t="shared" si="31"/>
        <v>PASS</v>
      </c>
      <c r="J648" s="7" t="str">
        <f t="shared" si="32"/>
        <v>Low Risk</v>
      </c>
      <c r="L648" s="7" t="str">
        <f>IF(J648="High Risk",COUNTIF($J$3:J648,"High Risk"),"")</f>
        <v/>
      </c>
      <c r="M648" s="7">
        <f>RANK(H648,$H$3:$H$1002,0)+COUNTIF($H$3:H648,H648)-1</f>
        <v>340</v>
      </c>
    </row>
    <row r="649" spans="1:13" x14ac:dyDescent="0.35">
      <c r="A649" s="7" t="s">
        <v>1258</v>
      </c>
      <c r="B649" s="7" t="s">
        <v>1259</v>
      </c>
      <c r="C649" s="8" t="s">
        <v>56</v>
      </c>
      <c r="D649" s="8" t="s">
        <v>75</v>
      </c>
      <c r="E649" s="8">
        <v>90.9</v>
      </c>
      <c r="F649" s="8">
        <v>7.2</v>
      </c>
      <c r="G649" s="8">
        <v>82</v>
      </c>
      <c r="H649" s="7">
        <f t="shared" si="30"/>
        <v>81.7</v>
      </c>
      <c r="I649" s="7" t="str">
        <f t="shared" si="31"/>
        <v>PASS</v>
      </c>
      <c r="J649" s="7" t="str">
        <f t="shared" si="32"/>
        <v>Low Risk</v>
      </c>
      <c r="L649" s="7" t="str">
        <f>IF(J649="High Risk",COUNTIF($J$3:J649,"High Risk"),"")</f>
        <v/>
      </c>
      <c r="M649" s="7">
        <f>RANK(H649,$H$3:$H$1002,0)+COUNTIF($H$3:H649,H649)-1</f>
        <v>222</v>
      </c>
    </row>
    <row r="650" spans="1:13" x14ac:dyDescent="0.35">
      <c r="A650" s="7" t="s">
        <v>1260</v>
      </c>
      <c r="B650" s="7" t="s">
        <v>77</v>
      </c>
      <c r="C650" s="8" t="s">
        <v>56</v>
      </c>
      <c r="D650" s="8" t="s">
        <v>63</v>
      </c>
      <c r="E650" s="8">
        <v>60.7</v>
      </c>
      <c r="F650" s="8">
        <v>3.5</v>
      </c>
      <c r="G650" s="8">
        <v>60</v>
      </c>
      <c r="H650" s="7">
        <f t="shared" si="30"/>
        <v>52.7</v>
      </c>
      <c r="I650" s="7" t="str">
        <f t="shared" si="31"/>
        <v>PASS</v>
      </c>
      <c r="J650" s="7" t="str">
        <f t="shared" si="32"/>
        <v>Medium Risk</v>
      </c>
      <c r="L650" s="7" t="str">
        <f>IF(J650="High Risk",COUNTIF($J$3:J650,"High Risk"),"")</f>
        <v/>
      </c>
      <c r="M650" s="7">
        <f>RANK(H650,$H$3:$H$1002,0)+COUNTIF($H$3:H650,H650)-1</f>
        <v>758</v>
      </c>
    </row>
    <row r="651" spans="1:13" x14ac:dyDescent="0.35">
      <c r="A651" s="7" t="s">
        <v>1261</v>
      </c>
      <c r="B651" s="7" t="s">
        <v>1262</v>
      </c>
      <c r="C651" s="8" t="s">
        <v>62</v>
      </c>
      <c r="D651" s="8" t="s">
        <v>57</v>
      </c>
      <c r="E651" s="8">
        <v>88.8</v>
      </c>
      <c r="F651" s="8">
        <v>6.5</v>
      </c>
      <c r="G651" s="8">
        <v>75</v>
      </c>
      <c r="H651" s="7">
        <f t="shared" si="30"/>
        <v>76.099999999999994</v>
      </c>
      <c r="I651" s="7" t="str">
        <f t="shared" si="31"/>
        <v>PASS</v>
      </c>
      <c r="J651" s="7" t="str">
        <f t="shared" si="32"/>
        <v>Low Risk</v>
      </c>
      <c r="L651" s="7" t="str">
        <f>IF(J651="High Risk",COUNTIF($J$3:J651,"High Risk"),"")</f>
        <v/>
      </c>
      <c r="M651" s="7">
        <f>RANK(H651,$H$3:$H$1002,0)+COUNTIF($H$3:H651,H651)-1</f>
        <v>305</v>
      </c>
    </row>
    <row r="652" spans="1:13" x14ac:dyDescent="0.35">
      <c r="A652" s="7" t="s">
        <v>1263</v>
      </c>
      <c r="B652" s="7" t="s">
        <v>1208</v>
      </c>
      <c r="C652" s="8" t="s">
        <v>62</v>
      </c>
      <c r="D652" s="8" t="s">
        <v>68</v>
      </c>
      <c r="E652" s="8">
        <v>30</v>
      </c>
      <c r="F652" s="8">
        <v>0</v>
      </c>
      <c r="G652" s="8">
        <v>20</v>
      </c>
      <c r="H652" s="7">
        <f t="shared" si="30"/>
        <v>17</v>
      </c>
      <c r="I652" s="7" t="str">
        <f t="shared" si="31"/>
        <v>FAIL</v>
      </c>
      <c r="J652" s="7" t="str">
        <f t="shared" si="32"/>
        <v>High Risk</v>
      </c>
      <c r="L652" s="7">
        <f>IF(J652="High Risk",COUNTIF($J$3:J652,"High Risk"),"")</f>
        <v>123</v>
      </c>
      <c r="M652" s="7">
        <f>RANK(H652,$H$3:$H$1002,0)+COUNTIF($H$3:H652,H652)-1</f>
        <v>1000</v>
      </c>
    </row>
    <row r="653" spans="1:13" x14ac:dyDescent="0.35">
      <c r="A653" s="7" t="s">
        <v>1264</v>
      </c>
      <c r="B653" s="7" t="s">
        <v>825</v>
      </c>
      <c r="C653" s="8" t="s">
        <v>62</v>
      </c>
      <c r="D653" s="8" t="s">
        <v>75</v>
      </c>
      <c r="E653" s="8">
        <v>86.1</v>
      </c>
      <c r="F653" s="8">
        <v>4.5999999999999996</v>
      </c>
      <c r="G653" s="8">
        <v>72</v>
      </c>
      <c r="H653" s="7">
        <f t="shared" si="30"/>
        <v>68.400000000000006</v>
      </c>
      <c r="I653" s="7" t="str">
        <f t="shared" si="31"/>
        <v>PASS</v>
      </c>
      <c r="J653" s="7" t="str">
        <f t="shared" si="32"/>
        <v>Low Risk</v>
      </c>
      <c r="L653" s="7" t="str">
        <f>IF(J653="High Risk",COUNTIF($J$3:J653,"High Risk"),"")</f>
        <v/>
      </c>
      <c r="M653" s="7">
        <f>RANK(H653,$H$3:$H$1002,0)+COUNTIF($H$3:H653,H653)-1</f>
        <v>466</v>
      </c>
    </row>
    <row r="654" spans="1:13" x14ac:dyDescent="0.35">
      <c r="A654" s="7" t="s">
        <v>1265</v>
      </c>
      <c r="B654" s="7" t="s">
        <v>1266</v>
      </c>
      <c r="C654" s="8" t="s">
        <v>62</v>
      </c>
      <c r="D654" s="8" t="s">
        <v>75</v>
      </c>
      <c r="E654" s="8">
        <v>63.5</v>
      </c>
      <c r="F654" s="8">
        <v>5.2</v>
      </c>
      <c r="G654" s="8">
        <v>45</v>
      </c>
      <c r="H654" s="7">
        <f t="shared" si="30"/>
        <v>52.7</v>
      </c>
      <c r="I654" s="7" t="str">
        <f t="shared" si="31"/>
        <v>PASS</v>
      </c>
      <c r="J654" s="7" t="str">
        <f t="shared" si="32"/>
        <v>Medium Risk</v>
      </c>
      <c r="L654" s="7" t="str">
        <f>IF(J654="High Risk",COUNTIF($J$3:J654,"High Risk"),"")</f>
        <v/>
      </c>
      <c r="M654" s="7">
        <f>RANK(H654,$H$3:$H$1002,0)+COUNTIF($H$3:H654,H654)-1</f>
        <v>759</v>
      </c>
    </row>
    <row r="655" spans="1:13" x14ac:dyDescent="0.35">
      <c r="A655" s="7" t="s">
        <v>1267</v>
      </c>
      <c r="B655" s="7" t="s">
        <v>1268</v>
      </c>
      <c r="C655" s="8" t="s">
        <v>56</v>
      </c>
      <c r="D655" s="8" t="s">
        <v>57</v>
      </c>
      <c r="E655" s="8">
        <v>84.8</v>
      </c>
      <c r="F655" s="8">
        <v>6.5</v>
      </c>
      <c r="G655" s="8">
        <v>86</v>
      </c>
      <c r="H655" s="7">
        <f t="shared" si="30"/>
        <v>79.3</v>
      </c>
      <c r="I655" s="7" t="str">
        <f t="shared" si="31"/>
        <v>PASS</v>
      </c>
      <c r="J655" s="7" t="str">
        <f t="shared" si="32"/>
        <v>Low Risk</v>
      </c>
      <c r="L655" s="7" t="str">
        <f>IF(J655="High Risk",COUNTIF($J$3:J655,"High Risk"),"")</f>
        <v/>
      </c>
      <c r="M655" s="7">
        <f>RANK(H655,$H$3:$H$1002,0)+COUNTIF($H$3:H655,H655)-1</f>
        <v>258</v>
      </c>
    </row>
    <row r="656" spans="1:13" x14ac:dyDescent="0.35">
      <c r="A656" s="7" t="s">
        <v>1269</v>
      </c>
      <c r="B656" s="7" t="s">
        <v>538</v>
      </c>
      <c r="C656" s="8" t="s">
        <v>62</v>
      </c>
      <c r="D656" s="8" t="s">
        <v>75</v>
      </c>
      <c r="E656" s="8">
        <v>52.9</v>
      </c>
      <c r="F656" s="8">
        <v>4.7</v>
      </c>
      <c r="G656" s="8">
        <v>52</v>
      </c>
      <c r="H656" s="7">
        <f t="shared" si="30"/>
        <v>50.8</v>
      </c>
      <c r="I656" s="7" t="str">
        <f t="shared" si="31"/>
        <v>PASS</v>
      </c>
      <c r="J656" s="7" t="str">
        <f t="shared" si="32"/>
        <v>Medium Risk</v>
      </c>
      <c r="L656" s="7" t="str">
        <f>IF(J656="High Risk",COUNTIF($J$3:J656,"High Risk"),"")</f>
        <v/>
      </c>
      <c r="M656" s="7">
        <f>RANK(H656,$H$3:$H$1002,0)+COUNTIF($H$3:H656,H656)-1</f>
        <v>788</v>
      </c>
    </row>
    <row r="657" spans="1:13" x14ac:dyDescent="0.35">
      <c r="A657" s="7" t="s">
        <v>1270</v>
      </c>
      <c r="B657" s="7" t="s">
        <v>1271</v>
      </c>
      <c r="C657" s="8" t="s">
        <v>56</v>
      </c>
      <c r="D657" s="8" t="s">
        <v>75</v>
      </c>
      <c r="E657" s="8">
        <v>62.6</v>
      </c>
      <c r="F657" s="8">
        <v>4.7</v>
      </c>
      <c r="G657" s="8">
        <v>53</v>
      </c>
      <c r="H657" s="7">
        <f t="shared" si="30"/>
        <v>54.1</v>
      </c>
      <c r="I657" s="7" t="str">
        <f t="shared" si="31"/>
        <v>PASS</v>
      </c>
      <c r="J657" s="7" t="str">
        <f t="shared" si="32"/>
        <v>Medium Risk</v>
      </c>
      <c r="L657" s="7" t="str">
        <f>IF(J657="High Risk",COUNTIF($J$3:J657,"High Risk"),"")</f>
        <v/>
      </c>
      <c r="M657" s="7">
        <f>RANK(H657,$H$3:$H$1002,0)+COUNTIF($H$3:H657,H657)-1</f>
        <v>731</v>
      </c>
    </row>
    <row r="658" spans="1:13" x14ac:dyDescent="0.35">
      <c r="A658" s="7" t="s">
        <v>1272</v>
      </c>
      <c r="B658" s="7" t="s">
        <v>1273</v>
      </c>
      <c r="C658" s="8" t="s">
        <v>62</v>
      </c>
      <c r="D658" s="8" t="s">
        <v>57</v>
      </c>
      <c r="E658" s="8">
        <v>90.1</v>
      </c>
      <c r="F658" s="8">
        <v>5.9</v>
      </c>
      <c r="G658" s="8">
        <v>78</v>
      </c>
      <c r="H658" s="7">
        <f t="shared" si="30"/>
        <v>75.900000000000006</v>
      </c>
      <c r="I658" s="7" t="str">
        <f t="shared" si="31"/>
        <v>PASS</v>
      </c>
      <c r="J658" s="7" t="str">
        <f t="shared" si="32"/>
        <v>Low Risk</v>
      </c>
      <c r="L658" s="7" t="str">
        <f>IF(J658="High Risk",COUNTIF($J$3:J658,"High Risk"),"")</f>
        <v/>
      </c>
      <c r="M658" s="7">
        <f>RANK(H658,$H$3:$H$1002,0)+COUNTIF($H$3:H658,H658)-1</f>
        <v>309</v>
      </c>
    </row>
    <row r="659" spans="1:13" x14ac:dyDescent="0.35">
      <c r="A659" s="7" t="s">
        <v>1274</v>
      </c>
      <c r="B659" s="7" t="s">
        <v>757</v>
      </c>
      <c r="C659" s="8" t="s">
        <v>56</v>
      </c>
      <c r="D659" s="8" t="s">
        <v>75</v>
      </c>
      <c r="E659" s="8">
        <v>62.2</v>
      </c>
      <c r="F659" s="8">
        <v>6.1</v>
      </c>
      <c r="G659" s="8">
        <v>64</v>
      </c>
      <c r="H659" s="7">
        <f t="shared" si="30"/>
        <v>62.6</v>
      </c>
      <c r="I659" s="7" t="str">
        <f t="shared" si="31"/>
        <v>PASS</v>
      </c>
      <c r="J659" s="7" t="str">
        <f t="shared" si="32"/>
        <v>Medium Risk</v>
      </c>
      <c r="L659" s="7" t="str">
        <f>IF(J659="High Risk",COUNTIF($J$3:J659,"High Risk"),"")</f>
        <v/>
      </c>
      <c r="M659" s="7">
        <f>RANK(H659,$H$3:$H$1002,0)+COUNTIF($H$3:H659,H659)-1</f>
        <v>569</v>
      </c>
    </row>
    <row r="660" spans="1:13" x14ac:dyDescent="0.35">
      <c r="A660" s="7" t="s">
        <v>1275</v>
      </c>
      <c r="B660" s="7" t="s">
        <v>1276</v>
      </c>
      <c r="C660" s="8" t="s">
        <v>62</v>
      </c>
      <c r="D660" s="8" t="s">
        <v>68</v>
      </c>
      <c r="E660" s="8">
        <v>56.9</v>
      </c>
      <c r="F660" s="8">
        <v>2.5</v>
      </c>
      <c r="G660" s="8">
        <v>35</v>
      </c>
      <c r="H660" s="7">
        <f t="shared" si="30"/>
        <v>38.6</v>
      </c>
      <c r="I660" s="7" t="str">
        <f t="shared" si="31"/>
        <v>FAIL</v>
      </c>
      <c r="J660" s="7" t="str">
        <f t="shared" si="32"/>
        <v>High Risk</v>
      </c>
      <c r="L660" s="7">
        <f>IF(J660="High Risk",COUNTIF($J$3:J660,"High Risk"),"")</f>
        <v>124</v>
      </c>
      <c r="M660" s="7">
        <f>RANK(H660,$H$3:$H$1002,0)+COUNTIF($H$3:H660,H660)-1</f>
        <v>916</v>
      </c>
    </row>
    <row r="661" spans="1:13" x14ac:dyDescent="0.35">
      <c r="A661" s="7" t="s">
        <v>1277</v>
      </c>
      <c r="B661" s="7" t="s">
        <v>1278</v>
      </c>
      <c r="C661" s="8" t="s">
        <v>56</v>
      </c>
      <c r="D661" s="8" t="s">
        <v>63</v>
      </c>
      <c r="E661" s="8">
        <v>95.5</v>
      </c>
      <c r="F661" s="8">
        <v>7.9</v>
      </c>
      <c r="G661" s="8">
        <v>90</v>
      </c>
      <c r="H661" s="7">
        <f t="shared" si="30"/>
        <v>88.4</v>
      </c>
      <c r="I661" s="7" t="str">
        <f t="shared" si="31"/>
        <v>PASS</v>
      </c>
      <c r="J661" s="7" t="str">
        <f t="shared" si="32"/>
        <v>Low Risk</v>
      </c>
      <c r="L661" s="7" t="str">
        <f>IF(J661="High Risk",COUNTIF($J$3:J661,"High Risk"),"")</f>
        <v/>
      </c>
      <c r="M661" s="7">
        <f>RANK(H661,$H$3:$H$1002,0)+COUNTIF($H$3:H661,H661)-1</f>
        <v>122</v>
      </c>
    </row>
    <row r="662" spans="1:13" x14ac:dyDescent="0.35">
      <c r="A662" s="7" t="s">
        <v>1279</v>
      </c>
      <c r="B662" s="7" t="s">
        <v>1280</v>
      </c>
      <c r="C662" s="8" t="s">
        <v>62</v>
      </c>
      <c r="D662" s="8" t="s">
        <v>57</v>
      </c>
      <c r="E662" s="8">
        <v>100</v>
      </c>
      <c r="F662" s="8">
        <v>8.3000000000000007</v>
      </c>
      <c r="G662" s="8">
        <v>93</v>
      </c>
      <c r="H662" s="7">
        <f t="shared" si="30"/>
        <v>92.1</v>
      </c>
      <c r="I662" s="7" t="str">
        <f t="shared" si="31"/>
        <v>PASS</v>
      </c>
      <c r="J662" s="7" t="str">
        <f t="shared" si="32"/>
        <v>Low Risk</v>
      </c>
      <c r="L662" s="7" t="str">
        <f>IF(J662="High Risk",COUNTIF($J$3:J662,"High Risk"),"")</f>
        <v/>
      </c>
      <c r="M662" s="7">
        <f>RANK(H662,$H$3:$H$1002,0)+COUNTIF($H$3:H662,H662)-1</f>
        <v>81</v>
      </c>
    </row>
    <row r="663" spans="1:13" x14ac:dyDescent="0.35">
      <c r="A663" s="7" t="s">
        <v>1281</v>
      </c>
      <c r="B663" s="7" t="s">
        <v>1282</v>
      </c>
      <c r="C663" s="8" t="s">
        <v>56</v>
      </c>
      <c r="D663" s="8" t="s">
        <v>75</v>
      </c>
      <c r="E663" s="8">
        <v>71.3</v>
      </c>
      <c r="F663" s="8">
        <v>7</v>
      </c>
      <c r="G663" s="8">
        <v>63</v>
      </c>
      <c r="H663" s="7">
        <f t="shared" si="30"/>
        <v>67.599999999999994</v>
      </c>
      <c r="I663" s="7" t="str">
        <f t="shared" si="31"/>
        <v>PASS</v>
      </c>
      <c r="J663" s="7" t="str">
        <f t="shared" si="32"/>
        <v>Low Risk</v>
      </c>
      <c r="L663" s="7" t="str">
        <f>IF(J663="High Risk",COUNTIF($J$3:J663,"High Risk"),"")</f>
        <v/>
      </c>
      <c r="M663" s="7">
        <f>RANK(H663,$H$3:$H$1002,0)+COUNTIF($H$3:H663,H663)-1</f>
        <v>483</v>
      </c>
    </row>
    <row r="664" spans="1:13" x14ac:dyDescent="0.35">
      <c r="A664" s="7" t="s">
        <v>1283</v>
      </c>
      <c r="B664" s="7" t="s">
        <v>1284</v>
      </c>
      <c r="C664" s="8" t="s">
        <v>56</v>
      </c>
      <c r="D664" s="8" t="s">
        <v>57</v>
      </c>
      <c r="E664" s="8">
        <v>67.2</v>
      </c>
      <c r="F664" s="8">
        <v>2.9</v>
      </c>
      <c r="G664" s="8">
        <v>41</v>
      </c>
      <c r="H664" s="7">
        <f t="shared" si="30"/>
        <v>45.3</v>
      </c>
      <c r="I664" s="7" t="str">
        <f t="shared" si="31"/>
        <v>FAIL</v>
      </c>
      <c r="J664" s="7" t="str">
        <f t="shared" si="32"/>
        <v>High Risk</v>
      </c>
      <c r="L664" s="7">
        <f>IF(J664="High Risk",COUNTIF($J$3:J664,"High Risk"),"")</f>
        <v>125</v>
      </c>
      <c r="M664" s="7">
        <f>RANK(H664,$H$3:$H$1002,0)+COUNTIF($H$3:H664,H664)-1</f>
        <v>851</v>
      </c>
    </row>
    <row r="665" spans="1:13" x14ac:dyDescent="0.35">
      <c r="A665" s="7" t="s">
        <v>1285</v>
      </c>
      <c r="B665" s="7" t="s">
        <v>1286</v>
      </c>
      <c r="C665" s="8" t="s">
        <v>62</v>
      </c>
      <c r="D665" s="8" t="s">
        <v>75</v>
      </c>
      <c r="E665" s="8">
        <v>65</v>
      </c>
      <c r="F665" s="8">
        <v>2.9</v>
      </c>
      <c r="G665" s="8">
        <v>52</v>
      </c>
      <c r="H665" s="7">
        <f t="shared" si="30"/>
        <v>49</v>
      </c>
      <c r="I665" s="7" t="str">
        <f t="shared" si="31"/>
        <v>FAIL</v>
      </c>
      <c r="J665" s="7" t="str">
        <f t="shared" si="32"/>
        <v>High Risk</v>
      </c>
      <c r="L665" s="7">
        <f>IF(J665="High Risk",COUNTIF($J$3:J665,"High Risk"),"")</f>
        <v>126</v>
      </c>
      <c r="M665" s="7">
        <f>RANK(H665,$H$3:$H$1002,0)+COUNTIF($H$3:H665,H665)-1</f>
        <v>814</v>
      </c>
    </row>
    <row r="666" spans="1:13" x14ac:dyDescent="0.35">
      <c r="A666" s="7" t="s">
        <v>1287</v>
      </c>
      <c r="B666" s="7" t="s">
        <v>105</v>
      </c>
      <c r="C666" s="8" t="s">
        <v>56</v>
      </c>
      <c r="D666" s="8" t="s">
        <v>57</v>
      </c>
      <c r="E666" s="8">
        <v>59.5</v>
      </c>
      <c r="F666" s="8">
        <v>1.8</v>
      </c>
      <c r="G666" s="8">
        <v>43</v>
      </c>
      <c r="H666" s="7">
        <f t="shared" si="30"/>
        <v>40.5</v>
      </c>
      <c r="I666" s="7" t="str">
        <f t="shared" si="31"/>
        <v>FAIL</v>
      </c>
      <c r="J666" s="7" t="str">
        <f t="shared" si="32"/>
        <v>High Risk</v>
      </c>
      <c r="L666" s="7">
        <f>IF(J666="High Risk",COUNTIF($J$3:J666,"High Risk"),"")</f>
        <v>127</v>
      </c>
      <c r="M666" s="7">
        <f>RANK(H666,$H$3:$H$1002,0)+COUNTIF($H$3:H666,H666)-1</f>
        <v>898</v>
      </c>
    </row>
    <row r="667" spans="1:13" x14ac:dyDescent="0.35">
      <c r="A667" s="7" t="s">
        <v>1288</v>
      </c>
      <c r="B667" s="7" t="s">
        <v>1289</v>
      </c>
      <c r="C667" s="8" t="s">
        <v>62</v>
      </c>
      <c r="D667" s="8" t="s">
        <v>75</v>
      </c>
      <c r="E667" s="8">
        <v>76</v>
      </c>
      <c r="F667" s="8">
        <v>6.1</v>
      </c>
      <c r="G667" s="8">
        <v>57</v>
      </c>
      <c r="H667" s="7">
        <f t="shared" si="30"/>
        <v>63.9</v>
      </c>
      <c r="I667" s="7" t="str">
        <f t="shared" si="31"/>
        <v>PASS</v>
      </c>
      <c r="J667" s="7" t="str">
        <f t="shared" si="32"/>
        <v>Medium Risk</v>
      </c>
      <c r="L667" s="7" t="str">
        <f>IF(J667="High Risk",COUNTIF($J$3:J667,"High Risk"),"")</f>
        <v/>
      </c>
      <c r="M667" s="7">
        <f>RANK(H667,$H$3:$H$1002,0)+COUNTIF($H$3:H667,H667)-1</f>
        <v>550</v>
      </c>
    </row>
    <row r="668" spans="1:13" x14ac:dyDescent="0.35">
      <c r="A668" s="7" t="s">
        <v>1290</v>
      </c>
      <c r="B668" s="7" t="s">
        <v>186</v>
      </c>
      <c r="C668" s="8" t="s">
        <v>62</v>
      </c>
      <c r="D668" s="8" t="s">
        <v>68</v>
      </c>
      <c r="E668" s="8">
        <v>68.7</v>
      </c>
      <c r="F668" s="8">
        <v>7.9</v>
      </c>
      <c r="G668" s="8">
        <v>61</v>
      </c>
      <c r="H668" s="7">
        <f t="shared" si="30"/>
        <v>68.7</v>
      </c>
      <c r="I668" s="7" t="str">
        <f t="shared" si="31"/>
        <v>PASS</v>
      </c>
      <c r="J668" s="7" t="str">
        <f t="shared" si="32"/>
        <v>Low Risk</v>
      </c>
      <c r="L668" s="7" t="str">
        <f>IF(J668="High Risk",COUNTIF($J$3:J668,"High Risk"),"")</f>
        <v/>
      </c>
      <c r="M668" s="7">
        <f>RANK(H668,$H$3:$H$1002,0)+COUNTIF($H$3:H668,H668)-1</f>
        <v>459</v>
      </c>
    </row>
    <row r="669" spans="1:13" x14ac:dyDescent="0.35">
      <c r="A669" s="7" t="s">
        <v>1291</v>
      </c>
      <c r="B669" s="7" t="s">
        <v>881</v>
      </c>
      <c r="C669" s="8" t="s">
        <v>56</v>
      </c>
      <c r="D669" s="8" t="s">
        <v>57</v>
      </c>
      <c r="E669" s="8">
        <v>70.8</v>
      </c>
      <c r="F669" s="8">
        <v>5.8</v>
      </c>
      <c r="G669" s="8">
        <v>59</v>
      </c>
      <c r="H669" s="7">
        <f t="shared" si="30"/>
        <v>62.2</v>
      </c>
      <c r="I669" s="7" t="str">
        <f t="shared" si="31"/>
        <v>PASS</v>
      </c>
      <c r="J669" s="7" t="str">
        <f t="shared" si="32"/>
        <v>Medium Risk</v>
      </c>
      <c r="L669" s="7" t="str">
        <f>IF(J669="High Risk",COUNTIF($J$3:J669,"High Risk"),"")</f>
        <v/>
      </c>
      <c r="M669" s="7">
        <f>RANK(H669,$H$3:$H$1002,0)+COUNTIF($H$3:H669,H669)-1</f>
        <v>577</v>
      </c>
    </row>
    <row r="670" spans="1:13" x14ac:dyDescent="0.35">
      <c r="A670" s="7" t="s">
        <v>1292</v>
      </c>
      <c r="B670" s="7" t="s">
        <v>1293</v>
      </c>
      <c r="C670" s="8" t="s">
        <v>56</v>
      </c>
      <c r="D670" s="8" t="s">
        <v>68</v>
      </c>
      <c r="E670" s="8">
        <v>99.1</v>
      </c>
      <c r="F670" s="8">
        <v>11.3</v>
      </c>
      <c r="G670" s="8">
        <v>93</v>
      </c>
      <c r="H670" s="7">
        <f t="shared" si="30"/>
        <v>96.9</v>
      </c>
      <c r="I670" s="7" t="str">
        <f t="shared" si="31"/>
        <v>PASS</v>
      </c>
      <c r="J670" s="7" t="str">
        <f t="shared" si="32"/>
        <v>Low Risk</v>
      </c>
      <c r="L670" s="7" t="str">
        <f>IF(J670="High Risk",COUNTIF($J$3:J670,"High Risk"),"")</f>
        <v/>
      </c>
      <c r="M670" s="7">
        <f>RANK(H670,$H$3:$H$1002,0)+COUNTIF($H$3:H670,H670)-1</f>
        <v>39</v>
      </c>
    </row>
    <row r="671" spans="1:13" x14ac:dyDescent="0.35">
      <c r="A671" s="7" t="s">
        <v>1294</v>
      </c>
      <c r="B671" s="7" t="s">
        <v>1295</v>
      </c>
      <c r="C671" s="8" t="s">
        <v>56</v>
      </c>
      <c r="D671" s="8" t="s">
        <v>63</v>
      </c>
      <c r="E671" s="8">
        <v>89.2</v>
      </c>
      <c r="F671" s="8">
        <v>6.8</v>
      </c>
      <c r="G671" s="8">
        <v>61</v>
      </c>
      <c r="H671" s="7">
        <f t="shared" si="30"/>
        <v>71.599999999999994</v>
      </c>
      <c r="I671" s="7" t="str">
        <f t="shared" si="31"/>
        <v>PASS</v>
      </c>
      <c r="J671" s="7" t="str">
        <f t="shared" si="32"/>
        <v>Low Risk</v>
      </c>
      <c r="L671" s="7" t="str">
        <f>IF(J671="High Risk",COUNTIF($J$3:J671,"High Risk"),"")</f>
        <v/>
      </c>
      <c r="M671" s="7">
        <f>RANK(H671,$H$3:$H$1002,0)+COUNTIF($H$3:H671,H671)-1</f>
        <v>395</v>
      </c>
    </row>
    <row r="672" spans="1:13" x14ac:dyDescent="0.35">
      <c r="A672" s="7" t="s">
        <v>1296</v>
      </c>
      <c r="B672" s="7" t="s">
        <v>1297</v>
      </c>
      <c r="C672" s="8" t="s">
        <v>56</v>
      </c>
      <c r="D672" s="8" t="s">
        <v>63</v>
      </c>
      <c r="E672" s="8">
        <v>63.9</v>
      </c>
      <c r="F672" s="8">
        <v>0.8</v>
      </c>
      <c r="G672" s="8">
        <v>41</v>
      </c>
      <c r="H672" s="7">
        <f t="shared" si="30"/>
        <v>38</v>
      </c>
      <c r="I672" s="7" t="str">
        <f t="shared" si="31"/>
        <v>FAIL</v>
      </c>
      <c r="J672" s="7" t="str">
        <f t="shared" si="32"/>
        <v>High Risk</v>
      </c>
      <c r="L672" s="7">
        <f>IF(J672="High Risk",COUNTIF($J$3:J672,"High Risk"),"")</f>
        <v>128</v>
      </c>
      <c r="M672" s="7">
        <f>RANK(H672,$H$3:$H$1002,0)+COUNTIF($H$3:H672,H672)-1</f>
        <v>924</v>
      </c>
    </row>
    <row r="673" spans="1:13" x14ac:dyDescent="0.35">
      <c r="A673" s="7" t="s">
        <v>1298</v>
      </c>
      <c r="B673" s="7" t="s">
        <v>1068</v>
      </c>
      <c r="C673" s="8" t="s">
        <v>56</v>
      </c>
      <c r="D673" s="8" t="s">
        <v>68</v>
      </c>
      <c r="E673" s="8">
        <v>69.599999999999994</v>
      </c>
      <c r="F673" s="8">
        <v>5.3</v>
      </c>
      <c r="G673" s="8">
        <v>61</v>
      </c>
      <c r="H673" s="7">
        <f t="shared" si="30"/>
        <v>61.2</v>
      </c>
      <c r="I673" s="7" t="str">
        <f t="shared" si="31"/>
        <v>PASS</v>
      </c>
      <c r="J673" s="7" t="str">
        <f t="shared" si="32"/>
        <v>Medium Risk</v>
      </c>
      <c r="L673" s="7" t="str">
        <f>IF(J673="High Risk",COUNTIF($J$3:J673,"High Risk"),"")</f>
        <v/>
      </c>
      <c r="M673" s="7">
        <f>RANK(H673,$H$3:$H$1002,0)+COUNTIF($H$3:H673,H673)-1</f>
        <v>601</v>
      </c>
    </row>
    <row r="674" spans="1:13" x14ac:dyDescent="0.35">
      <c r="A674" s="7" t="s">
        <v>1299</v>
      </c>
      <c r="B674" s="7" t="s">
        <v>1025</v>
      </c>
      <c r="C674" s="8" t="s">
        <v>62</v>
      </c>
      <c r="D674" s="8" t="s">
        <v>63</v>
      </c>
      <c r="E674" s="8">
        <v>83.2</v>
      </c>
      <c r="F674" s="8">
        <v>9.1999999999999993</v>
      </c>
      <c r="G674" s="8">
        <v>81</v>
      </c>
      <c r="H674" s="7">
        <f t="shared" si="30"/>
        <v>85</v>
      </c>
      <c r="I674" s="7" t="str">
        <f t="shared" si="31"/>
        <v>PASS</v>
      </c>
      <c r="J674" s="7" t="str">
        <f t="shared" si="32"/>
        <v>Low Risk</v>
      </c>
      <c r="L674" s="7" t="str">
        <f>IF(J674="High Risk",COUNTIF($J$3:J674,"High Risk"),"")</f>
        <v/>
      </c>
      <c r="M674" s="7">
        <f>RANK(H674,$H$3:$H$1002,0)+COUNTIF($H$3:H674,H674)-1</f>
        <v>168</v>
      </c>
    </row>
    <row r="675" spans="1:13" x14ac:dyDescent="0.35">
      <c r="A675" s="7" t="s">
        <v>1300</v>
      </c>
      <c r="B675" s="7" t="s">
        <v>1301</v>
      </c>
      <c r="C675" s="8" t="s">
        <v>62</v>
      </c>
      <c r="D675" s="8" t="s">
        <v>75</v>
      </c>
      <c r="E675" s="8">
        <v>50.1</v>
      </c>
      <c r="F675" s="8">
        <v>2.2000000000000002</v>
      </c>
      <c r="G675" s="8">
        <v>58</v>
      </c>
      <c r="H675" s="7">
        <f t="shared" si="30"/>
        <v>44.8</v>
      </c>
      <c r="I675" s="7" t="str">
        <f t="shared" si="31"/>
        <v>FAIL</v>
      </c>
      <c r="J675" s="7" t="str">
        <f t="shared" si="32"/>
        <v>High Risk</v>
      </c>
      <c r="L675" s="7">
        <f>IF(J675="High Risk",COUNTIF($J$3:J675,"High Risk"),"")</f>
        <v>129</v>
      </c>
      <c r="M675" s="7">
        <f>RANK(H675,$H$3:$H$1002,0)+COUNTIF($H$3:H675,H675)-1</f>
        <v>853</v>
      </c>
    </row>
    <row r="676" spans="1:13" x14ac:dyDescent="0.35">
      <c r="A676" s="7" t="s">
        <v>1302</v>
      </c>
      <c r="B676" s="7" t="s">
        <v>1303</v>
      </c>
      <c r="C676" s="8" t="s">
        <v>56</v>
      </c>
      <c r="D676" s="8" t="s">
        <v>75</v>
      </c>
      <c r="E676" s="8">
        <v>46.7</v>
      </c>
      <c r="F676" s="8">
        <v>1.8</v>
      </c>
      <c r="G676" s="8">
        <v>33</v>
      </c>
      <c r="H676" s="7">
        <f t="shared" si="30"/>
        <v>32.6</v>
      </c>
      <c r="I676" s="7" t="str">
        <f t="shared" si="31"/>
        <v>FAIL</v>
      </c>
      <c r="J676" s="7" t="str">
        <f t="shared" si="32"/>
        <v>High Risk</v>
      </c>
      <c r="L676" s="7">
        <f>IF(J676="High Risk",COUNTIF($J$3:J676,"High Risk"),"")</f>
        <v>130</v>
      </c>
      <c r="M676" s="7">
        <f>RANK(H676,$H$3:$H$1002,0)+COUNTIF($H$3:H676,H676)-1</f>
        <v>951</v>
      </c>
    </row>
    <row r="677" spans="1:13" x14ac:dyDescent="0.35">
      <c r="A677" s="7" t="s">
        <v>1304</v>
      </c>
      <c r="B677" s="7" t="s">
        <v>1305</v>
      </c>
      <c r="C677" s="8" t="s">
        <v>62</v>
      </c>
      <c r="D677" s="8" t="s">
        <v>75</v>
      </c>
      <c r="E677" s="8">
        <v>88.8</v>
      </c>
      <c r="F677" s="8">
        <v>5.8</v>
      </c>
      <c r="G677" s="8">
        <v>81</v>
      </c>
      <c r="H677" s="7">
        <f t="shared" si="30"/>
        <v>76.400000000000006</v>
      </c>
      <c r="I677" s="7" t="str">
        <f t="shared" si="31"/>
        <v>PASS</v>
      </c>
      <c r="J677" s="7" t="str">
        <f t="shared" si="32"/>
        <v>Low Risk</v>
      </c>
      <c r="L677" s="7" t="str">
        <f>IF(J677="High Risk",COUNTIF($J$3:J677,"High Risk"),"")</f>
        <v/>
      </c>
      <c r="M677" s="7">
        <f>RANK(H677,$H$3:$H$1002,0)+COUNTIF($H$3:H677,H677)-1</f>
        <v>300</v>
      </c>
    </row>
    <row r="678" spans="1:13" x14ac:dyDescent="0.35">
      <c r="A678" s="7" t="s">
        <v>1306</v>
      </c>
      <c r="B678" s="7" t="s">
        <v>1101</v>
      </c>
      <c r="C678" s="8" t="s">
        <v>56</v>
      </c>
      <c r="D678" s="8" t="s">
        <v>68</v>
      </c>
      <c r="E678" s="8">
        <v>41.6</v>
      </c>
      <c r="F678" s="8">
        <v>4.9000000000000004</v>
      </c>
      <c r="G678" s="8">
        <v>35</v>
      </c>
      <c r="H678" s="7">
        <f t="shared" si="30"/>
        <v>41.2</v>
      </c>
      <c r="I678" s="7" t="str">
        <f t="shared" si="31"/>
        <v>FAIL</v>
      </c>
      <c r="J678" s="7" t="str">
        <f t="shared" si="32"/>
        <v>High Risk</v>
      </c>
      <c r="L678" s="7">
        <f>IF(J678="High Risk",COUNTIF($J$3:J678,"High Risk"),"")</f>
        <v>131</v>
      </c>
      <c r="M678" s="7">
        <f>RANK(H678,$H$3:$H$1002,0)+COUNTIF($H$3:H678,H678)-1</f>
        <v>889</v>
      </c>
    </row>
    <row r="679" spans="1:13" x14ac:dyDescent="0.35">
      <c r="A679" s="7" t="s">
        <v>1307</v>
      </c>
      <c r="B679" s="7" t="s">
        <v>347</v>
      </c>
      <c r="C679" s="8" t="s">
        <v>56</v>
      </c>
      <c r="D679" s="8" t="s">
        <v>57</v>
      </c>
      <c r="E679" s="8">
        <v>73.5</v>
      </c>
      <c r="F679" s="8">
        <v>6.5</v>
      </c>
      <c r="G679" s="8">
        <v>65</v>
      </c>
      <c r="H679" s="7">
        <f t="shared" si="30"/>
        <v>67.599999999999994</v>
      </c>
      <c r="I679" s="7" t="str">
        <f t="shared" si="31"/>
        <v>PASS</v>
      </c>
      <c r="J679" s="7" t="str">
        <f t="shared" si="32"/>
        <v>Low Risk</v>
      </c>
      <c r="L679" s="7" t="str">
        <f>IF(J679="High Risk",COUNTIF($J$3:J679,"High Risk"),"")</f>
        <v/>
      </c>
      <c r="M679" s="7">
        <f>RANK(H679,$H$3:$H$1002,0)+COUNTIF($H$3:H679,H679)-1</f>
        <v>484</v>
      </c>
    </row>
    <row r="680" spans="1:13" x14ac:dyDescent="0.35">
      <c r="A680" s="7" t="s">
        <v>1308</v>
      </c>
      <c r="B680" s="7" t="s">
        <v>1309</v>
      </c>
      <c r="C680" s="8" t="s">
        <v>56</v>
      </c>
      <c r="D680" s="8" t="s">
        <v>63</v>
      </c>
      <c r="E680" s="8">
        <v>66.5</v>
      </c>
      <c r="F680" s="8">
        <v>2.5</v>
      </c>
      <c r="G680" s="8">
        <v>49</v>
      </c>
      <c r="H680" s="7">
        <f t="shared" si="30"/>
        <v>47.1</v>
      </c>
      <c r="I680" s="7" t="str">
        <f t="shared" si="31"/>
        <v>FAIL</v>
      </c>
      <c r="J680" s="7" t="str">
        <f t="shared" si="32"/>
        <v>High Risk</v>
      </c>
      <c r="L680" s="7">
        <f>IF(J680="High Risk",COUNTIF($J$3:J680,"High Risk"),"")</f>
        <v>132</v>
      </c>
      <c r="M680" s="7">
        <f>RANK(H680,$H$3:$H$1002,0)+COUNTIF($H$3:H680,H680)-1</f>
        <v>835</v>
      </c>
    </row>
    <row r="681" spans="1:13" x14ac:dyDescent="0.35">
      <c r="A681" s="7" t="s">
        <v>1310</v>
      </c>
      <c r="B681" s="7" t="s">
        <v>1311</v>
      </c>
      <c r="C681" s="8" t="s">
        <v>56</v>
      </c>
      <c r="D681" s="8" t="s">
        <v>57</v>
      </c>
      <c r="E681" s="8">
        <v>45.3</v>
      </c>
      <c r="F681" s="8">
        <v>2.7</v>
      </c>
      <c r="G681" s="8">
        <v>34</v>
      </c>
      <c r="H681" s="7">
        <f t="shared" si="30"/>
        <v>35.299999999999997</v>
      </c>
      <c r="I681" s="7" t="str">
        <f t="shared" si="31"/>
        <v>FAIL</v>
      </c>
      <c r="J681" s="7" t="str">
        <f t="shared" si="32"/>
        <v>High Risk</v>
      </c>
      <c r="L681" s="7">
        <f>IF(J681="High Risk",COUNTIF($J$3:J681,"High Risk"),"")</f>
        <v>133</v>
      </c>
      <c r="M681" s="7">
        <f>RANK(H681,$H$3:$H$1002,0)+COUNTIF($H$3:H681,H681)-1</f>
        <v>943</v>
      </c>
    </row>
    <row r="682" spans="1:13" x14ac:dyDescent="0.35">
      <c r="A682" s="7" t="s">
        <v>1312</v>
      </c>
      <c r="B682" s="7" t="s">
        <v>1313</v>
      </c>
      <c r="C682" s="8" t="s">
        <v>56</v>
      </c>
      <c r="D682" s="8" t="s">
        <v>68</v>
      </c>
      <c r="E682" s="8">
        <v>100</v>
      </c>
      <c r="F682" s="8">
        <v>10.9</v>
      </c>
      <c r="G682" s="8">
        <v>83</v>
      </c>
      <c r="H682" s="7">
        <f t="shared" si="30"/>
        <v>93.2</v>
      </c>
      <c r="I682" s="7" t="str">
        <f t="shared" si="31"/>
        <v>PASS</v>
      </c>
      <c r="J682" s="7" t="str">
        <f t="shared" si="32"/>
        <v>Low Risk</v>
      </c>
      <c r="L682" s="7" t="str">
        <f>IF(J682="High Risk",COUNTIF($J$3:J682,"High Risk"),"")</f>
        <v/>
      </c>
      <c r="M682" s="7">
        <f>RANK(H682,$H$3:$H$1002,0)+COUNTIF($H$3:H682,H682)-1</f>
        <v>71</v>
      </c>
    </row>
    <row r="683" spans="1:13" x14ac:dyDescent="0.35">
      <c r="A683" s="7" t="s">
        <v>1314</v>
      </c>
      <c r="B683" s="7" t="s">
        <v>490</v>
      </c>
      <c r="C683" s="8" t="s">
        <v>56</v>
      </c>
      <c r="D683" s="8" t="s">
        <v>68</v>
      </c>
      <c r="E683" s="8">
        <v>78.8</v>
      </c>
      <c r="F683" s="8">
        <v>4.4000000000000004</v>
      </c>
      <c r="G683" s="8">
        <v>84</v>
      </c>
      <c r="H683" s="7">
        <f t="shared" si="30"/>
        <v>70.400000000000006</v>
      </c>
      <c r="I683" s="7" t="str">
        <f t="shared" si="31"/>
        <v>PASS</v>
      </c>
      <c r="J683" s="7" t="str">
        <f t="shared" si="32"/>
        <v>Low Risk</v>
      </c>
      <c r="L683" s="7" t="str">
        <f>IF(J683="High Risk",COUNTIF($J$3:J683,"High Risk"),"")</f>
        <v/>
      </c>
      <c r="M683" s="7">
        <f>RANK(H683,$H$3:$H$1002,0)+COUNTIF($H$3:H683,H683)-1</f>
        <v>423</v>
      </c>
    </row>
    <row r="684" spans="1:13" x14ac:dyDescent="0.35">
      <c r="A684" s="7" t="s">
        <v>1315</v>
      </c>
      <c r="B684" s="7" t="s">
        <v>464</v>
      </c>
      <c r="C684" s="8" t="s">
        <v>62</v>
      </c>
      <c r="D684" s="8" t="s">
        <v>63</v>
      </c>
      <c r="E684" s="8">
        <v>74</v>
      </c>
      <c r="F684" s="8">
        <v>7.5</v>
      </c>
      <c r="G684" s="8">
        <v>70</v>
      </c>
      <c r="H684" s="7">
        <f t="shared" si="30"/>
        <v>72.7</v>
      </c>
      <c r="I684" s="7" t="str">
        <f t="shared" si="31"/>
        <v>PASS</v>
      </c>
      <c r="J684" s="7" t="str">
        <f t="shared" si="32"/>
        <v>Low Risk</v>
      </c>
      <c r="L684" s="7" t="str">
        <f>IF(J684="High Risk",COUNTIF($J$3:J684,"High Risk"),"")</f>
        <v/>
      </c>
      <c r="M684" s="7">
        <f>RANK(H684,$H$3:$H$1002,0)+COUNTIF($H$3:H684,H684)-1</f>
        <v>369</v>
      </c>
    </row>
    <row r="685" spans="1:13" x14ac:dyDescent="0.35">
      <c r="A685" s="7" t="s">
        <v>1316</v>
      </c>
      <c r="B685" s="7" t="s">
        <v>1317</v>
      </c>
      <c r="C685" s="8" t="s">
        <v>56</v>
      </c>
      <c r="D685" s="8" t="s">
        <v>57</v>
      </c>
      <c r="E685" s="8">
        <v>65.599999999999994</v>
      </c>
      <c r="F685" s="8">
        <v>6</v>
      </c>
      <c r="G685" s="8">
        <v>76</v>
      </c>
      <c r="H685" s="7">
        <f t="shared" si="30"/>
        <v>68.099999999999994</v>
      </c>
      <c r="I685" s="7" t="str">
        <f t="shared" si="31"/>
        <v>PASS</v>
      </c>
      <c r="J685" s="7" t="str">
        <f t="shared" si="32"/>
        <v>Low Risk</v>
      </c>
      <c r="L685" s="7" t="str">
        <f>IF(J685="High Risk",COUNTIF($J$3:J685,"High Risk"),"")</f>
        <v/>
      </c>
      <c r="M685" s="7">
        <f>RANK(H685,$H$3:$H$1002,0)+COUNTIF($H$3:H685,H685)-1</f>
        <v>472</v>
      </c>
    </row>
    <row r="686" spans="1:13" x14ac:dyDescent="0.35">
      <c r="A686" s="7" t="s">
        <v>1318</v>
      </c>
      <c r="B686" s="7" t="s">
        <v>1319</v>
      </c>
      <c r="C686" s="8" t="s">
        <v>56</v>
      </c>
      <c r="D686" s="8" t="s">
        <v>57</v>
      </c>
      <c r="E686" s="8">
        <v>81.599999999999994</v>
      </c>
      <c r="F686" s="8">
        <v>7.2</v>
      </c>
      <c r="G686" s="8">
        <v>67</v>
      </c>
      <c r="H686" s="7">
        <f t="shared" si="30"/>
        <v>72.900000000000006</v>
      </c>
      <c r="I686" s="7" t="str">
        <f t="shared" si="31"/>
        <v>PASS</v>
      </c>
      <c r="J686" s="7" t="str">
        <f t="shared" si="32"/>
        <v>Low Risk</v>
      </c>
      <c r="L686" s="7" t="str">
        <f>IF(J686="High Risk",COUNTIF($J$3:J686,"High Risk"),"")</f>
        <v/>
      </c>
      <c r="M686" s="7">
        <f>RANK(H686,$H$3:$H$1002,0)+COUNTIF($H$3:H686,H686)-1</f>
        <v>364</v>
      </c>
    </row>
    <row r="687" spans="1:13" x14ac:dyDescent="0.35">
      <c r="A687" s="7" t="s">
        <v>1320</v>
      </c>
      <c r="B687" s="7" t="s">
        <v>1321</v>
      </c>
      <c r="C687" s="8" t="s">
        <v>62</v>
      </c>
      <c r="D687" s="8" t="s">
        <v>75</v>
      </c>
      <c r="E687" s="8">
        <v>78</v>
      </c>
      <c r="F687" s="8">
        <v>8.5</v>
      </c>
      <c r="G687" s="8">
        <v>79</v>
      </c>
      <c r="H687" s="7">
        <f t="shared" si="30"/>
        <v>80.5</v>
      </c>
      <c r="I687" s="7" t="str">
        <f t="shared" si="31"/>
        <v>PASS</v>
      </c>
      <c r="J687" s="7" t="str">
        <f t="shared" si="32"/>
        <v>Low Risk</v>
      </c>
      <c r="L687" s="7" t="str">
        <f>IF(J687="High Risk",COUNTIF($J$3:J687,"High Risk"),"")</f>
        <v/>
      </c>
      <c r="M687" s="7">
        <f>RANK(H687,$H$3:$H$1002,0)+COUNTIF($H$3:H687,H687)-1</f>
        <v>237</v>
      </c>
    </row>
    <row r="688" spans="1:13" x14ac:dyDescent="0.35">
      <c r="A688" s="7" t="s">
        <v>1322</v>
      </c>
      <c r="B688" s="7" t="s">
        <v>1323</v>
      </c>
      <c r="C688" s="8" t="s">
        <v>56</v>
      </c>
      <c r="D688" s="8" t="s">
        <v>68</v>
      </c>
      <c r="E688" s="8">
        <v>98.9</v>
      </c>
      <c r="F688" s="8">
        <v>11.9</v>
      </c>
      <c r="G688" s="8">
        <v>100</v>
      </c>
      <c r="H688" s="7">
        <f t="shared" si="30"/>
        <v>99.7</v>
      </c>
      <c r="I688" s="7" t="str">
        <f t="shared" si="31"/>
        <v>PASS</v>
      </c>
      <c r="J688" s="7" t="str">
        <f t="shared" si="32"/>
        <v>Low Risk</v>
      </c>
      <c r="L688" s="7" t="str">
        <f>IF(J688="High Risk",COUNTIF($J$3:J688,"High Risk"),"")</f>
        <v/>
      </c>
      <c r="M688" s="7">
        <f>RANK(H688,$H$3:$H$1002,0)+COUNTIF($H$3:H688,H688)-1</f>
        <v>13</v>
      </c>
    </row>
    <row r="689" spans="1:13" x14ac:dyDescent="0.35">
      <c r="A689" s="7" t="s">
        <v>1324</v>
      </c>
      <c r="B689" s="7" t="s">
        <v>251</v>
      </c>
      <c r="C689" s="8" t="s">
        <v>56</v>
      </c>
      <c r="D689" s="8" t="s">
        <v>57</v>
      </c>
      <c r="E689" s="8">
        <v>100</v>
      </c>
      <c r="F689" s="8">
        <v>13.9</v>
      </c>
      <c r="G689" s="8">
        <v>98</v>
      </c>
      <c r="H689" s="7">
        <f t="shared" si="30"/>
        <v>99.2</v>
      </c>
      <c r="I689" s="7" t="str">
        <f t="shared" si="31"/>
        <v>PASS</v>
      </c>
      <c r="J689" s="7" t="str">
        <f t="shared" si="32"/>
        <v>Low Risk</v>
      </c>
      <c r="L689" s="7" t="str">
        <f>IF(J689="High Risk",COUNTIF($J$3:J689,"High Risk"),"")</f>
        <v/>
      </c>
      <c r="M689" s="7">
        <f>RANK(H689,$H$3:$H$1002,0)+COUNTIF($H$3:H689,H689)-1</f>
        <v>19</v>
      </c>
    </row>
    <row r="690" spans="1:13" x14ac:dyDescent="0.35">
      <c r="A690" s="7" t="s">
        <v>1325</v>
      </c>
      <c r="B690" s="7" t="s">
        <v>1326</v>
      </c>
      <c r="C690" s="8" t="s">
        <v>62</v>
      </c>
      <c r="D690" s="8" t="s">
        <v>68</v>
      </c>
      <c r="E690" s="8">
        <v>57.8</v>
      </c>
      <c r="F690" s="8">
        <v>0</v>
      </c>
      <c r="G690" s="8">
        <v>33</v>
      </c>
      <c r="H690" s="7">
        <f t="shared" si="30"/>
        <v>30.5</v>
      </c>
      <c r="I690" s="7" t="str">
        <f t="shared" si="31"/>
        <v>FAIL</v>
      </c>
      <c r="J690" s="7" t="str">
        <f t="shared" si="32"/>
        <v>High Risk</v>
      </c>
      <c r="L690" s="7">
        <f>IF(J690="High Risk",COUNTIF($J$3:J690,"High Risk"),"")</f>
        <v>134</v>
      </c>
      <c r="M690" s="7">
        <f>RANK(H690,$H$3:$H$1002,0)+COUNTIF($H$3:H690,H690)-1</f>
        <v>964</v>
      </c>
    </row>
    <row r="691" spans="1:13" x14ac:dyDescent="0.35">
      <c r="A691" s="7" t="s">
        <v>1327</v>
      </c>
      <c r="B691" s="7" t="s">
        <v>1328</v>
      </c>
      <c r="C691" s="8" t="s">
        <v>62</v>
      </c>
      <c r="D691" s="8" t="s">
        <v>68</v>
      </c>
      <c r="E691" s="8">
        <v>53.9</v>
      </c>
      <c r="F691" s="8">
        <v>1.4</v>
      </c>
      <c r="G691" s="8">
        <v>40</v>
      </c>
      <c r="H691" s="7">
        <f t="shared" si="30"/>
        <v>36.4</v>
      </c>
      <c r="I691" s="7" t="str">
        <f t="shared" si="31"/>
        <v>FAIL</v>
      </c>
      <c r="J691" s="7" t="str">
        <f t="shared" si="32"/>
        <v>High Risk</v>
      </c>
      <c r="L691" s="7">
        <f>IF(J691="High Risk",COUNTIF($J$3:J691,"High Risk"),"")</f>
        <v>135</v>
      </c>
      <c r="M691" s="7">
        <f>RANK(H691,$H$3:$H$1002,0)+COUNTIF($H$3:H691,H691)-1</f>
        <v>935</v>
      </c>
    </row>
    <row r="692" spans="1:13" x14ac:dyDescent="0.35">
      <c r="A692" s="7" t="s">
        <v>1329</v>
      </c>
      <c r="B692" s="7" t="s">
        <v>1330</v>
      </c>
      <c r="C692" s="8" t="s">
        <v>56</v>
      </c>
      <c r="D692" s="8" t="s">
        <v>75</v>
      </c>
      <c r="E692" s="8">
        <v>75</v>
      </c>
      <c r="F692" s="8">
        <v>8.5</v>
      </c>
      <c r="G692" s="8">
        <v>67</v>
      </c>
      <c r="H692" s="7">
        <f t="shared" si="30"/>
        <v>74.8</v>
      </c>
      <c r="I692" s="7" t="str">
        <f t="shared" si="31"/>
        <v>PASS</v>
      </c>
      <c r="J692" s="7" t="str">
        <f t="shared" si="32"/>
        <v>Low Risk</v>
      </c>
      <c r="L692" s="7" t="str">
        <f>IF(J692="High Risk",COUNTIF($J$3:J692,"High Risk"),"")</f>
        <v/>
      </c>
      <c r="M692" s="7">
        <f>RANK(H692,$H$3:$H$1002,0)+COUNTIF($H$3:H692,H692)-1</f>
        <v>327</v>
      </c>
    </row>
    <row r="693" spans="1:13" x14ac:dyDescent="0.35">
      <c r="A693" s="7" t="s">
        <v>1331</v>
      </c>
      <c r="B693" s="7" t="s">
        <v>934</v>
      </c>
      <c r="C693" s="8" t="s">
        <v>62</v>
      </c>
      <c r="D693" s="8" t="s">
        <v>63</v>
      </c>
      <c r="E693" s="8">
        <v>52.8</v>
      </c>
      <c r="F693" s="8">
        <v>3.9</v>
      </c>
      <c r="G693" s="8">
        <v>46</v>
      </c>
      <c r="H693" s="7">
        <f t="shared" si="30"/>
        <v>45.9</v>
      </c>
      <c r="I693" s="7" t="str">
        <f t="shared" si="31"/>
        <v>FAIL</v>
      </c>
      <c r="J693" s="7" t="str">
        <f t="shared" si="32"/>
        <v>High Risk</v>
      </c>
      <c r="L693" s="7">
        <f>IF(J693="High Risk",COUNTIF($J$3:J693,"High Risk"),"")</f>
        <v>136</v>
      </c>
      <c r="M693" s="7">
        <f>RANK(H693,$H$3:$H$1002,0)+COUNTIF($H$3:H693,H693)-1</f>
        <v>847</v>
      </c>
    </row>
    <row r="694" spans="1:13" x14ac:dyDescent="0.35">
      <c r="A694" s="7" t="s">
        <v>1332</v>
      </c>
      <c r="B694" s="7" t="s">
        <v>1333</v>
      </c>
      <c r="C694" s="8" t="s">
        <v>62</v>
      </c>
      <c r="D694" s="8" t="s">
        <v>63</v>
      </c>
      <c r="E694" s="8">
        <v>77.7</v>
      </c>
      <c r="F694" s="8">
        <v>4.5999999999999996</v>
      </c>
      <c r="G694" s="8">
        <v>78</v>
      </c>
      <c r="H694" s="7">
        <f t="shared" si="30"/>
        <v>68.3</v>
      </c>
      <c r="I694" s="7" t="str">
        <f t="shared" si="31"/>
        <v>PASS</v>
      </c>
      <c r="J694" s="7" t="str">
        <f t="shared" si="32"/>
        <v>Low Risk</v>
      </c>
      <c r="L694" s="7" t="str">
        <f>IF(J694="High Risk",COUNTIF($J$3:J694,"High Risk"),"")</f>
        <v/>
      </c>
      <c r="M694" s="7">
        <f>RANK(H694,$H$3:$H$1002,0)+COUNTIF($H$3:H694,H694)-1</f>
        <v>470</v>
      </c>
    </row>
    <row r="695" spans="1:13" x14ac:dyDescent="0.35">
      <c r="A695" s="7" t="s">
        <v>1334</v>
      </c>
      <c r="B695" s="7" t="s">
        <v>1335</v>
      </c>
      <c r="C695" s="8" t="s">
        <v>56</v>
      </c>
      <c r="D695" s="8" t="s">
        <v>63</v>
      </c>
      <c r="E695" s="8">
        <v>95</v>
      </c>
      <c r="F695" s="8">
        <v>9.5</v>
      </c>
      <c r="G695" s="8">
        <v>88</v>
      </c>
      <c r="H695" s="7">
        <f t="shared" si="30"/>
        <v>92.2</v>
      </c>
      <c r="I695" s="7" t="str">
        <f t="shared" si="31"/>
        <v>PASS</v>
      </c>
      <c r="J695" s="7" t="str">
        <f t="shared" si="32"/>
        <v>Low Risk</v>
      </c>
      <c r="L695" s="7" t="str">
        <f>IF(J695="High Risk",COUNTIF($J$3:J695,"High Risk"),"")</f>
        <v/>
      </c>
      <c r="M695" s="7">
        <f>RANK(H695,$H$3:$H$1002,0)+COUNTIF($H$3:H695,H695)-1</f>
        <v>80</v>
      </c>
    </row>
    <row r="696" spans="1:13" x14ac:dyDescent="0.35">
      <c r="A696" s="7" t="s">
        <v>1336</v>
      </c>
      <c r="B696" s="7" t="s">
        <v>1337</v>
      </c>
      <c r="C696" s="8" t="s">
        <v>56</v>
      </c>
      <c r="D696" s="8" t="s">
        <v>75</v>
      </c>
      <c r="E696" s="8">
        <v>92.7</v>
      </c>
      <c r="F696" s="8">
        <v>11.8</v>
      </c>
      <c r="G696" s="8">
        <v>72</v>
      </c>
      <c r="H696" s="7">
        <f t="shared" si="30"/>
        <v>86.6</v>
      </c>
      <c r="I696" s="7" t="str">
        <f t="shared" si="31"/>
        <v>PASS</v>
      </c>
      <c r="J696" s="7" t="str">
        <f t="shared" si="32"/>
        <v>Low Risk</v>
      </c>
      <c r="L696" s="7" t="str">
        <f>IF(J696="High Risk",COUNTIF($J$3:J696,"High Risk"),"")</f>
        <v/>
      </c>
      <c r="M696" s="7">
        <f>RANK(H696,$H$3:$H$1002,0)+COUNTIF($H$3:H696,H696)-1</f>
        <v>145</v>
      </c>
    </row>
    <row r="697" spans="1:13" x14ac:dyDescent="0.35">
      <c r="A697" s="7" t="s">
        <v>1338</v>
      </c>
      <c r="B697" s="7" t="s">
        <v>1339</v>
      </c>
      <c r="C697" s="8" t="s">
        <v>62</v>
      </c>
      <c r="D697" s="8" t="s">
        <v>75</v>
      </c>
      <c r="E697" s="8">
        <v>50.8</v>
      </c>
      <c r="F697" s="8">
        <v>5.2</v>
      </c>
      <c r="G697" s="8">
        <v>61</v>
      </c>
      <c r="H697" s="7">
        <f t="shared" si="30"/>
        <v>55.2</v>
      </c>
      <c r="I697" s="7" t="str">
        <f t="shared" si="31"/>
        <v>PASS</v>
      </c>
      <c r="J697" s="7" t="str">
        <f t="shared" si="32"/>
        <v>Medium Risk</v>
      </c>
      <c r="L697" s="7" t="str">
        <f>IF(J697="High Risk",COUNTIF($J$3:J697,"High Risk"),"")</f>
        <v/>
      </c>
      <c r="M697" s="7">
        <f>RANK(H697,$H$3:$H$1002,0)+COUNTIF($H$3:H697,H697)-1</f>
        <v>711</v>
      </c>
    </row>
    <row r="698" spans="1:13" x14ac:dyDescent="0.35">
      <c r="A698" s="7" t="s">
        <v>1340</v>
      </c>
      <c r="B698" s="7" t="s">
        <v>1341</v>
      </c>
      <c r="C698" s="8" t="s">
        <v>56</v>
      </c>
      <c r="D698" s="8" t="s">
        <v>75</v>
      </c>
      <c r="E698" s="8">
        <v>70.5</v>
      </c>
      <c r="F698" s="8">
        <v>1.6</v>
      </c>
      <c r="G698" s="8">
        <v>61</v>
      </c>
      <c r="H698" s="7">
        <f t="shared" si="30"/>
        <v>50.4</v>
      </c>
      <c r="I698" s="7" t="str">
        <f t="shared" si="31"/>
        <v>PASS</v>
      </c>
      <c r="J698" s="7" t="str">
        <f t="shared" si="32"/>
        <v>Medium Risk</v>
      </c>
      <c r="L698" s="7" t="str">
        <f>IF(J698="High Risk",COUNTIF($J$3:J698,"High Risk"),"")</f>
        <v/>
      </c>
      <c r="M698" s="7">
        <f>RANK(H698,$H$3:$H$1002,0)+COUNTIF($H$3:H698,H698)-1</f>
        <v>797</v>
      </c>
    </row>
    <row r="699" spans="1:13" x14ac:dyDescent="0.35">
      <c r="A699" s="7" t="s">
        <v>1342</v>
      </c>
      <c r="B699" s="7" t="s">
        <v>1343</v>
      </c>
      <c r="C699" s="8" t="s">
        <v>56</v>
      </c>
      <c r="D699" s="8" t="s">
        <v>75</v>
      </c>
      <c r="E699" s="8">
        <v>61.3</v>
      </c>
      <c r="F699" s="8">
        <v>4.2</v>
      </c>
      <c r="G699" s="8">
        <v>65</v>
      </c>
      <c r="H699" s="7">
        <f t="shared" si="30"/>
        <v>57</v>
      </c>
      <c r="I699" s="7" t="str">
        <f t="shared" si="31"/>
        <v>PASS</v>
      </c>
      <c r="J699" s="7" t="str">
        <f t="shared" si="32"/>
        <v>Medium Risk</v>
      </c>
      <c r="L699" s="7" t="str">
        <f>IF(J699="High Risk",COUNTIF($J$3:J699,"High Risk"),"")</f>
        <v/>
      </c>
      <c r="M699" s="7">
        <f>RANK(H699,$H$3:$H$1002,0)+COUNTIF($H$3:H699,H699)-1</f>
        <v>685</v>
      </c>
    </row>
    <row r="700" spans="1:13" x14ac:dyDescent="0.35">
      <c r="A700" s="7" t="s">
        <v>1344</v>
      </c>
      <c r="B700" s="7" t="s">
        <v>1252</v>
      </c>
      <c r="C700" s="8" t="s">
        <v>56</v>
      </c>
      <c r="D700" s="8" t="s">
        <v>57</v>
      </c>
      <c r="E700" s="8">
        <v>73</v>
      </c>
      <c r="F700" s="8">
        <v>5.0999999999999996</v>
      </c>
      <c r="G700" s="8">
        <v>76</v>
      </c>
      <c r="H700" s="7">
        <f t="shared" si="30"/>
        <v>67.599999999999994</v>
      </c>
      <c r="I700" s="7" t="str">
        <f t="shared" si="31"/>
        <v>PASS</v>
      </c>
      <c r="J700" s="7" t="str">
        <f t="shared" si="32"/>
        <v>Low Risk</v>
      </c>
      <c r="L700" s="7" t="str">
        <f>IF(J700="High Risk",COUNTIF($J$3:J700,"High Risk"),"")</f>
        <v/>
      </c>
      <c r="M700" s="7">
        <f>RANK(H700,$H$3:$H$1002,0)+COUNTIF($H$3:H700,H700)-1</f>
        <v>485</v>
      </c>
    </row>
    <row r="701" spans="1:13" x14ac:dyDescent="0.35">
      <c r="A701" s="7" t="s">
        <v>1345</v>
      </c>
      <c r="B701" s="7" t="s">
        <v>1217</v>
      </c>
      <c r="C701" s="8" t="s">
        <v>62</v>
      </c>
      <c r="D701" s="8" t="s">
        <v>57</v>
      </c>
      <c r="E701" s="8">
        <v>93.5</v>
      </c>
      <c r="F701" s="8">
        <v>14.2</v>
      </c>
      <c r="G701" s="8">
        <v>96</v>
      </c>
      <c r="H701" s="7">
        <f t="shared" si="30"/>
        <v>96.5</v>
      </c>
      <c r="I701" s="7" t="str">
        <f t="shared" si="31"/>
        <v>PASS</v>
      </c>
      <c r="J701" s="7" t="str">
        <f t="shared" si="32"/>
        <v>Low Risk</v>
      </c>
      <c r="L701" s="7" t="str">
        <f>IF(J701="High Risk",COUNTIF($J$3:J701,"High Risk"),"")</f>
        <v/>
      </c>
      <c r="M701" s="7">
        <f>RANK(H701,$H$3:$H$1002,0)+COUNTIF($H$3:H701,H701)-1</f>
        <v>42</v>
      </c>
    </row>
    <row r="702" spans="1:13" x14ac:dyDescent="0.35">
      <c r="A702" s="7" t="s">
        <v>1346</v>
      </c>
      <c r="B702" s="7" t="s">
        <v>1347</v>
      </c>
      <c r="C702" s="8" t="s">
        <v>56</v>
      </c>
      <c r="D702" s="8" t="s">
        <v>68</v>
      </c>
      <c r="E702" s="8">
        <v>73.2</v>
      </c>
      <c r="F702" s="8">
        <v>6.7</v>
      </c>
      <c r="G702" s="8">
        <v>60</v>
      </c>
      <c r="H702" s="7">
        <f t="shared" si="30"/>
        <v>66.099999999999994</v>
      </c>
      <c r="I702" s="7" t="str">
        <f t="shared" si="31"/>
        <v>PASS</v>
      </c>
      <c r="J702" s="7" t="str">
        <f t="shared" si="32"/>
        <v>Low Risk</v>
      </c>
      <c r="L702" s="7" t="str">
        <f>IF(J702="High Risk",COUNTIF($J$3:J702,"High Risk"),"")</f>
        <v/>
      </c>
      <c r="M702" s="7">
        <f>RANK(H702,$H$3:$H$1002,0)+COUNTIF($H$3:H702,H702)-1</f>
        <v>509</v>
      </c>
    </row>
    <row r="703" spans="1:13" x14ac:dyDescent="0.35">
      <c r="A703" s="7" t="s">
        <v>1348</v>
      </c>
      <c r="B703" s="7" t="s">
        <v>1349</v>
      </c>
      <c r="C703" s="8" t="s">
        <v>62</v>
      </c>
      <c r="D703" s="8" t="s">
        <v>75</v>
      </c>
      <c r="E703" s="8">
        <v>73.099999999999994</v>
      </c>
      <c r="F703" s="8">
        <v>6.8</v>
      </c>
      <c r="G703" s="8">
        <v>60</v>
      </c>
      <c r="H703" s="7">
        <f t="shared" si="30"/>
        <v>66.3</v>
      </c>
      <c r="I703" s="7" t="str">
        <f t="shared" si="31"/>
        <v>PASS</v>
      </c>
      <c r="J703" s="7" t="str">
        <f t="shared" si="32"/>
        <v>Low Risk</v>
      </c>
      <c r="L703" s="7" t="str">
        <f>IF(J703="High Risk",COUNTIF($J$3:J703,"High Risk"),"")</f>
        <v/>
      </c>
      <c r="M703" s="7">
        <f>RANK(H703,$H$3:$H$1002,0)+COUNTIF($H$3:H703,H703)-1</f>
        <v>506</v>
      </c>
    </row>
    <row r="704" spans="1:13" x14ac:dyDescent="0.35">
      <c r="A704" s="7" t="s">
        <v>1350</v>
      </c>
      <c r="B704" s="7" t="s">
        <v>1110</v>
      </c>
      <c r="C704" s="8" t="s">
        <v>56</v>
      </c>
      <c r="D704" s="8" t="s">
        <v>57</v>
      </c>
      <c r="E704" s="8">
        <v>70.900000000000006</v>
      </c>
      <c r="F704" s="8">
        <v>7.2</v>
      </c>
      <c r="G704" s="8">
        <v>54</v>
      </c>
      <c r="H704" s="7">
        <f t="shared" si="30"/>
        <v>64.5</v>
      </c>
      <c r="I704" s="7" t="str">
        <f t="shared" si="31"/>
        <v>PASS</v>
      </c>
      <c r="J704" s="7" t="str">
        <f t="shared" si="32"/>
        <v>Medium Risk</v>
      </c>
      <c r="L704" s="7" t="str">
        <f>IF(J704="High Risk",COUNTIF($J$3:J704,"High Risk"),"")</f>
        <v/>
      </c>
      <c r="M704" s="7">
        <f>RANK(H704,$H$3:$H$1002,0)+COUNTIF($H$3:H704,H704)-1</f>
        <v>536</v>
      </c>
    </row>
    <row r="705" spans="1:13" x14ac:dyDescent="0.35">
      <c r="A705" s="7" t="s">
        <v>1351</v>
      </c>
      <c r="B705" s="7" t="s">
        <v>891</v>
      </c>
      <c r="C705" s="8" t="s">
        <v>62</v>
      </c>
      <c r="D705" s="8" t="s">
        <v>57</v>
      </c>
      <c r="E705" s="8">
        <v>100</v>
      </c>
      <c r="F705" s="8">
        <v>12.9</v>
      </c>
      <c r="G705" s="8">
        <v>100</v>
      </c>
      <c r="H705" s="7">
        <f t="shared" si="30"/>
        <v>100</v>
      </c>
      <c r="I705" s="7" t="str">
        <f t="shared" si="31"/>
        <v>PASS</v>
      </c>
      <c r="J705" s="7" t="str">
        <f t="shared" si="32"/>
        <v>Low Risk</v>
      </c>
      <c r="L705" s="7" t="str">
        <f>IF(J705="High Risk",COUNTIF($J$3:J705,"High Risk"),"")</f>
        <v/>
      </c>
      <c r="M705" s="7">
        <f>RANK(H705,$H$3:$H$1002,0)+COUNTIF($H$3:H705,H705)-1</f>
        <v>9</v>
      </c>
    </row>
    <row r="706" spans="1:13" x14ac:dyDescent="0.35">
      <c r="A706" s="7" t="s">
        <v>1352</v>
      </c>
      <c r="B706" s="7" t="s">
        <v>1353</v>
      </c>
      <c r="C706" s="8" t="s">
        <v>56</v>
      </c>
      <c r="D706" s="8" t="s">
        <v>63</v>
      </c>
      <c r="E706" s="8">
        <v>79.599999999999994</v>
      </c>
      <c r="F706" s="8">
        <v>6.5</v>
      </c>
      <c r="G706" s="8">
        <v>77</v>
      </c>
      <c r="H706" s="7">
        <f t="shared" si="30"/>
        <v>74.2</v>
      </c>
      <c r="I706" s="7" t="str">
        <f t="shared" si="31"/>
        <v>PASS</v>
      </c>
      <c r="J706" s="7" t="str">
        <f t="shared" si="32"/>
        <v>Low Risk</v>
      </c>
      <c r="L706" s="7" t="str">
        <f>IF(J706="High Risk",COUNTIF($J$3:J706,"High Risk"),"")</f>
        <v/>
      </c>
      <c r="M706" s="7">
        <f>RANK(H706,$H$3:$H$1002,0)+COUNTIF($H$3:H706,H706)-1</f>
        <v>336</v>
      </c>
    </row>
    <row r="707" spans="1:13" x14ac:dyDescent="0.35">
      <c r="A707" s="7" t="s">
        <v>1354</v>
      </c>
      <c r="B707" s="7" t="s">
        <v>1355</v>
      </c>
      <c r="C707" s="8" t="s">
        <v>62</v>
      </c>
      <c r="D707" s="8" t="s">
        <v>63</v>
      </c>
      <c r="E707" s="8">
        <v>75.599999999999994</v>
      </c>
      <c r="F707" s="8">
        <v>5.6</v>
      </c>
      <c r="G707" s="8">
        <v>69</v>
      </c>
      <c r="H707" s="7">
        <f t="shared" ref="H707:H770" si="33">ROUND(0.4*G707+0.3*E707+0.3*MIN(F707/10,1)*100,1)</f>
        <v>67.099999999999994</v>
      </c>
      <c r="I707" s="7" t="str">
        <f t="shared" ref="I707:I770" si="34">IF(H707&gt;=50,"PASS","FAIL")</f>
        <v>PASS</v>
      </c>
      <c r="J707" s="7" t="str">
        <f t="shared" ref="J707:J770" si="35">IF(H707&lt;50,"High Risk",IF(H707&lt;65,"Medium Risk","Low Risk"))</f>
        <v>Low Risk</v>
      </c>
      <c r="L707" s="7" t="str">
        <f>IF(J707="High Risk",COUNTIF($J$3:J707,"High Risk"),"")</f>
        <v/>
      </c>
      <c r="M707" s="7">
        <f>RANK(H707,$H$3:$H$1002,0)+COUNTIF($H$3:H707,H707)-1</f>
        <v>496</v>
      </c>
    </row>
    <row r="708" spans="1:13" x14ac:dyDescent="0.35">
      <c r="A708" s="7" t="s">
        <v>1356</v>
      </c>
      <c r="B708" s="7" t="s">
        <v>1357</v>
      </c>
      <c r="C708" s="8" t="s">
        <v>62</v>
      </c>
      <c r="D708" s="8" t="s">
        <v>75</v>
      </c>
      <c r="E708" s="8">
        <v>82.9</v>
      </c>
      <c r="F708" s="8">
        <v>8.6</v>
      </c>
      <c r="G708" s="8">
        <v>71</v>
      </c>
      <c r="H708" s="7">
        <f t="shared" si="33"/>
        <v>79.099999999999994</v>
      </c>
      <c r="I708" s="7" t="str">
        <f t="shared" si="34"/>
        <v>PASS</v>
      </c>
      <c r="J708" s="7" t="str">
        <f t="shared" si="35"/>
        <v>Low Risk</v>
      </c>
      <c r="L708" s="7" t="str">
        <f>IF(J708="High Risk",COUNTIF($J$3:J708,"High Risk"),"")</f>
        <v/>
      </c>
      <c r="M708" s="7">
        <f>RANK(H708,$H$3:$H$1002,0)+COUNTIF($H$3:H708,H708)-1</f>
        <v>260</v>
      </c>
    </row>
    <row r="709" spans="1:13" x14ac:dyDescent="0.35">
      <c r="A709" s="7" t="s">
        <v>1358</v>
      </c>
      <c r="B709" s="7" t="s">
        <v>1165</v>
      </c>
      <c r="C709" s="8" t="s">
        <v>56</v>
      </c>
      <c r="D709" s="8" t="s">
        <v>63</v>
      </c>
      <c r="E709" s="8">
        <v>100</v>
      </c>
      <c r="F709" s="8">
        <v>12.1</v>
      </c>
      <c r="G709" s="8">
        <v>100</v>
      </c>
      <c r="H709" s="7">
        <f t="shared" si="33"/>
        <v>100</v>
      </c>
      <c r="I709" s="7" t="str">
        <f t="shared" si="34"/>
        <v>PASS</v>
      </c>
      <c r="J709" s="7" t="str">
        <f t="shared" si="35"/>
        <v>Low Risk</v>
      </c>
      <c r="L709" s="7" t="str">
        <f>IF(J709="High Risk",COUNTIF($J$3:J709,"High Risk"),"")</f>
        <v/>
      </c>
      <c r="M709" s="7">
        <f>RANK(H709,$H$3:$H$1002,0)+COUNTIF($H$3:H709,H709)-1</f>
        <v>10</v>
      </c>
    </row>
    <row r="710" spans="1:13" x14ac:dyDescent="0.35">
      <c r="A710" s="7" t="s">
        <v>1359</v>
      </c>
      <c r="B710" s="7" t="s">
        <v>1360</v>
      </c>
      <c r="C710" s="8" t="s">
        <v>62</v>
      </c>
      <c r="D710" s="8" t="s">
        <v>63</v>
      </c>
      <c r="E710" s="8">
        <v>37.700000000000003</v>
      </c>
      <c r="F710" s="8">
        <v>0.3</v>
      </c>
      <c r="G710" s="8">
        <v>35</v>
      </c>
      <c r="H710" s="7">
        <f t="shared" si="33"/>
        <v>26.2</v>
      </c>
      <c r="I710" s="7" t="str">
        <f t="shared" si="34"/>
        <v>FAIL</v>
      </c>
      <c r="J710" s="7" t="str">
        <f t="shared" si="35"/>
        <v>High Risk</v>
      </c>
      <c r="L710" s="7">
        <f>IF(J710="High Risk",COUNTIF($J$3:J710,"High Risk"),"")</f>
        <v>137</v>
      </c>
      <c r="M710" s="7">
        <f>RANK(H710,$H$3:$H$1002,0)+COUNTIF($H$3:H710,H710)-1</f>
        <v>981</v>
      </c>
    </row>
    <row r="711" spans="1:13" x14ac:dyDescent="0.35">
      <c r="A711" s="7" t="s">
        <v>1361</v>
      </c>
      <c r="B711" s="7" t="s">
        <v>671</v>
      </c>
      <c r="C711" s="8" t="s">
        <v>62</v>
      </c>
      <c r="D711" s="8" t="s">
        <v>57</v>
      </c>
      <c r="E711" s="8">
        <v>48.8</v>
      </c>
      <c r="F711" s="8">
        <v>3.1</v>
      </c>
      <c r="G711" s="8">
        <v>47</v>
      </c>
      <c r="H711" s="7">
        <f t="shared" si="33"/>
        <v>42.7</v>
      </c>
      <c r="I711" s="7" t="str">
        <f t="shared" si="34"/>
        <v>FAIL</v>
      </c>
      <c r="J711" s="7" t="str">
        <f t="shared" si="35"/>
        <v>High Risk</v>
      </c>
      <c r="L711" s="7">
        <f>IF(J711="High Risk",COUNTIF($J$3:J711,"High Risk"),"")</f>
        <v>138</v>
      </c>
      <c r="M711" s="7">
        <f>RANK(H711,$H$3:$H$1002,0)+COUNTIF($H$3:H711,H711)-1</f>
        <v>877</v>
      </c>
    </row>
    <row r="712" spans="1:13" x14ac:dyDescent="0.35">
      <c r="A712" s="7" t="s">
        <v>1362</v>
      </c>
      <c r="B712" s="7" t="s">
        <v>1363</v>
      </c>
      <c r="C712" s="8" t="s">
        <v>56</v>
      </c>
      <c r="D712" s="8" t="s">
        <v>68</v>
      </c>
      <c r="E712" s="8">
        <v>68.8</v>
      </c>
      <c r="F712" s="8">
        <v>4.5</v>
      </c>
      <c r="G712" s="8">
        <v>59</v>
      </c>
      <c r="H712" s="7">
        <f t="shared" si="33"/>
        <v>57.7</v>
      </c>
      <c r="I712" s="7" t="str">
        <f t="shared" si="34"/>
        <v>PASS</v>
      </c>
      <c r="J712" s="7" t="str">
        <f t="shared" si="35"/>
        <v>Medium Risk</v>
      </c>
      <c r="L712" s="7" t="str">
        <f>IF(J712="High Risk",COUNTIF($J$3:J712,"High Risk"),"")</f>
        <v/>
      </c>
      <c r="M712" s="7">
        <f>RANK(H712,$H$3:$H$1002,0)+COUNTIF($H$3:H712,H712)-1</f>
        <v>669</v>
      </c>
    </row>
    <row r="713" spans="1:13" x14ac:dyDescent="0.35">
      <c r="A713" s="7" t="s">
        <v>1364</v>
      </c>
      <c r="B713" s="7" t="s">
        <v>976</v>
      </c>
      <c r="C713" s="8" t="s">
        <v>56</v>
      </c>
      <c r="D713" s="8" t="s">
        <v>63</v>
      </c>
      <c r="E713" s="8">
        <v>72.599999999999994</v>
      </c>
      <c r="F713" s="8">
        <v>6.2</v>
      </c>
      <c r="G713" s="8">
        <v>69</v>
      </c>
      <c r="H713" s="7">
        <f t="shared" si="33"/>
        <v>68</v>
      </c>
      <c r="I713" s="7" t="str">
        <f t="shared" si="34"/>
        <v>PASS</v>
      </c>
      <c r="J713" s="7" t="str">
        <f t="shared" si="35"/>
        <v>Low Risk</v>
      </c>
      <c r="L713" s="7" t="str">
        <f>IF(J713="High Risk",COUNTIF($J$3:J713,"High Risk"),"")</f>
        <v/>
      </c>
      <c r="M713" s="7">
        <f>RANK(H713,$H$3:$H$1002,0)+COUNTIF($H$3:H713,H713)-1</f>
        <v>474</v>
      </c>
    </row>
    <row r="714" spans="1:13" x14ac:dyDescent="0.35">
      <c r="A714" s="7" t="s">
        <v>1365</v>
      </c>
      <c r="B714" s="7" t="s">
        <v>1366</v>
      </c>
      <c r="C714" s="8" t="s">
        <v>56</v>
      </c>
      <c r="D714" s="8" t="s">
        <v>75</v>
      </c>
      <c r="E714" s="8">
        <v>75</v>
      </c>
      <c r="F714" s="8">
        <v>5.2</v>
      </c>
      <c r="G714" s="8">
        <v>58</v>
      </c>
      <c r="H714" s="7">
        <f t="shared" si="33"/>
        <v>61.3</v>
      </c>
      <c r="I714" s="7" t="str">
        <f t="shared" si="34"/>
        <v>PASS</v>
      </c>
      <c r="J714" s="7" t="str">
        <f t="shared" si="35"/>
        <v>Medium Risk</v>
      </c>
      <c r="L714" s="7" t="str">
        <f>IF(J714="High Risk",COUNTIF($J$3:J714,"High Risk"),"")</f>
        <v/>
      </c>
      <c r="M714" s="7">
        <f>RANK(H714,$H$3:$H$1002,0)+COUNTIF($H$3:H714,H714)-1</f>
        <v>600</v>
      </c>
    </row>
    <row r="715" spans="1:13" x14ac:dyDescent="0.35">
      <c r="A715" s="7" t="s">
        <v>1367</v>
      </c>
      <c r="B715" s="7" t="s">
        <v>1368</v>
      </c>
      <c r="C715" s="8" t="s">
        <v>56</v>
      </c>
      <c r="D715" s="8" t="s">
        <v>57</v>
      </c>
      <c r="E715" s="8">
        <v>76.400000000000006</v>
      </c>
      <c r="F715" s="8">
        <v>6.8</v>
      </c>
      <c r="G715" s="8">
        <v>83</v>
      </c>
      <c r="H715" s="7">
        <f t="shared" si="33"/>
        <v>76.5</v>
      </c>
      <c r="I715" s="7" t="str">
        <f t="shared" si="34"/>
        <v>PASS</v>
      </c>
      <c r="J715" s="7" t="str">
        <f t="shared" si="35"/>
        <v>Low Risk</v>
      </c>
      <c r="L715" s="7" t="str">
        <f>IF(J715="High Risk",COUNTIF($J$3:J715,"High Risk"),"")</f>
        <v/>
      </c>
      <c r="M715" s="7">
        <f>RANK(H715,$H$3:$H$1002,0)+COUNTIF($H$3:H715,H715)-1</f>
        <v>298</v>
      </c>
    </row>
    <row r="716" spans="1:13" x14ac:dyDescent="0.35">
      <c r="A716" s="7" t="s">
        <v>1369</v>
      </c>
      <c r="B716" s="7" t="s">
        <v>1370</v>
      </c>
      <c r="C716" s="8" t="s">
        <v>56</v>
      </c>
      <c r="D716" s="8" t="s">
        <v>75</v>
      </c>
      <c r="E716" s="8">
        <v>40.799999999999997</v>
      </c>
      <c r="F716" s="8">
        <v>0.7</v>
      </c>
      <c r="G716" s="8">
        <v>41</v>
      </c>
      <c r="H716" s="7">
        <f t="shared" si="33"/>
        <v>30.7</v>
      </c>
      <c r="I716" s="7" t="str">
        <f t="shared" si="34"/>
        <v>FAIL</v>
      </c>
      <c r="J716" s="7" t="str">
        <f t="shared" si="35"/>
        <v>High Risk</v>
      </c>
      <c r="L716" s="7">
        <f>IF(J716="High Risk",COUNTIF($J$3:J716,"High Risk"),"")</f>
        <v>139</v>
      </c>
      <c r="M716" s="7">
        <f>RANK(H716,$H$3:$H$1002,0)+COUNTIF($H$3:H716,H716)-1</f>
        <v>963</v>
      </c>
    </row>
    <row r="717" spans="1:13" x14ac:dyDescent="0.35">
      <c r="A717" s="7" t="s">
        <v>1371</v>
      </c>
      <c r="B717" s="7" t="s">
        <v>1372</v>
      </c>
      <c r="C717" s="8" t="s">
        <v>62</v>
      </c>
      <c r="D717" s="8" t="s">
        <v>57</v>
      </c>
      <c r="E717" s="8">
        <v>54.5</v>
      </c>
      <c r="F717" s="8">
        <v>1.8</v>
      </c>
      <c r="G717" s="8">
        <v>38</v>
      </c>
      <c r="H717" s="7">
        <f t="shared" si="33"/>
        <v>37</v>
      </c>
      <c r="I717" s="7" t="str">
        <f t="shared" si="34"/>
        <v>FAIL</v>
      </c>
      <c r="J717" s="7" t="str">
        <f t="shared" si="35"/>
        <v>High Risk</v>
      </c>
      <c r="L717" s="7">
        <f>IF(J717="High Risk",COUNTIF($J$3:J717,"High Risk"),"")</f>
        <v>140</v>
      </c>
      <c r="M717" s="7">
        <f>RANK(H717,$H$3:$H$1002,0)+COUNTIF($H$3:H717,H717)-1</f>
        <v>930</v>
      </c>
    </row>
    <row r="718" spans="1:13" x14ac:dyDescent="0.35">
      <c r="A718" s="7" t="s">
        <v>1373</v>
      </c>
      <c r="B718" s="7" t="s">
        <v>1374</v>
      </c>
      <c r="C718" s="8" t="s">
        <v>56</v>
      </c>
      <c r="D718" s="8" t="s">
        <v>63</v>
      </c>
      <c r="E718" s="8">
        <v>68.7</v>
      </c>
      <c r="F718" s="8">
        <v>4.7</v>
      </c>
      <c r="G718" s="8">
        <v>89</v>
      </c>
      <c r="H718" s="7">
        <f t="shared" si="33"/>
        <v>70.3</v>
      </c>
      <c r="I718" s="7" t="str">
        <f t="shared" si="34"/>
        <v>PASS</v>
      </c>
      <c r="J718" s="7" t="str">
        <f t="shared" si="35"/>
        <v>Low Risk</v>
      </c>
      <c r="L718" s="7" t="str">
        <f>IF(J718="High Risk",COUNTIF($J$3:J718,"High Risk"),"")</f>
        <v/>
      </c>
      <c r="M718" s="7">
        <f>RANK(H718,$H$3:$H$1002,0)+COUNTIF($H$3:H718,H718)-1</f>
        <v>426</v>
      </c>
    </row>
    <row r="719" spans="1:13" x14ac:dyDescent="0.35">
      <c r="A719" s="7" t="s">
        <v>1375</v>
      </c>
      <c r="B719" s="7" t="s">
        <v>1376</v>
      </c>
      <c r="C719" s="8" t="s">
        <v>62</v>
      </c>
      <c r="D719" s="8" t="s">
        <v>75</v>
      </c>
      <c r="E719" s="8">
        <v>68.900000000000006</v>
      </c>
      <c r="F719" s="8">
        <v>5</v>
      </c>
      <c r="G719" s="8">
        <v>60</v>
      </c>
      <c r="H719" s="7">
        <f t="shared" si="33"/>
        <v>59.7</v>
      </c>
      <c r="I719" s="7" t="str">
        <f t="shared" si="34"/>
        <v>PASS</v>
      </c>
      <c r="J719" s="7" t="str">
        <f t="shared" si="35"/>
        <v>Medium Risk</v>
      </c>
      <c r="L719" s="7" t="str">
        <f>IF(J719="High Risk",COUNTIF($J$3:J719,"High Risk"),"")</f>
        <v/>
      </c>
      <c r="M719" s="7">
        <f>RANK(H719,$H$3:$H$1002,0)+COUNTIF($H$3:H719,H719)-1</f>
        <v>629</v>
      </c>
    </row>
    <row r="720" spans="1:13" x14ac:dyDescent="0.35">
      <c r="A720" s="7" t="s">
        <v>1377</v>
      </c>
      <c r="B720" s="7" t="s">
        <v>1378</v>
      </c>
      <c r="C720" s="8" t="s">
        <v>56</v>
      </c>
      <c r="D720" s="8" t="s">
        <v>68</v>
      </c>
      <c r="E720" s="8">
        <v>62.7</v>
      </c>
      <c r="F720" s="8">
        <v>5.9</v>
      </c>
      <c r="G720" s="8">
        <v>67</v>
      </c>
      <c r="H720" s="7">
        <f t="shared" si="33"/>
        <v>63.3</v>
      </c>
      <c r="I720" s="7" t="str">
        <f t="shared" si="34"/>
        <v>PASS</v>
      </c>
      <c r="J720" s="7" t="str">
        <f t="shared" si="35"/>
        <v>Medium Risk</v>
      </c>
      <c r="L720" s="7" t="str">
        <f>IF(J720="High Risk",COUNTIF($J$3:J720,"High Risk"),"")</f>
        <v/>
      </c>
      <c r="M720" s="7">
        <f>RANK(H720,$H$3:$H$1002,0)+COUNTIF($H$3:H720,H720)-1</f>
        <v>559</v>
      </c>
    </row>
    <row r="721" spans="1:13" x14ac:dyDescent="0.35">
      <c r="A721" s="7" t="s">
        <v>1379</v>
      </c>
      <c r="B721" s="7" t="s">
        <v>876</v>
      </c>
      <c r="C721" s="8" t="s">
        <v>62</v>
      </c>
      <c r="D721" s="8" t="s">
        <v>68</v>
      </c>
      <c r="E721" s="8">
        <v>66.3</v>
      </c>
      <c r="F721" s="8">
        <v>2</v>
      </c>
      <c r="G721" s="8">
        <v>54</v>
      </c>
      <c r="H721" s="7">
        <f t="shared" si="33"/>
        <v>47.5</v>
      </c>
      <c r="I721" s="7" t="str">
        <f t="shared" si="34"/>
        <v>FAIL</v>
      </c>
      <c r="J721" s="7" t="str">
        <f t="shared" si="35"/>
        <v>High Risk</v>
      </c>
      <c r="L721" s="7">
        <f>IF(J721="High Risk",COUNTIF($J$3:J721,"High Risk"),"")</f>
        <v>141</v>
      </c>
      <c r="M721" s="7">
        <f>RANK(H721,$H$3:$H$1002,0)+COUNTIF($H$3:H721,H721)-1</f>
        <v>829</v>
      </c>
    </row>
    <row r="722" spans="1:13" x14ac:dyDescent="0.35">
      <c r="A722" s="7" t="s">
        <v>1380</v>
      </c>
      <c r="B722" s="7" t="s">
        <v>1381</v>
      </c>
      <c r="C722" s="8" t="s">
        <v>56</v>
      </c>
      <c r="D722" s="8" t="s">
        <v>68</v>
      </c>
      <c r="E722" s="8">
        <v>63.3</v>
      </c>
      <c r="F722" s="8">
        <v>6.6</v>
      </c>
      <c r="G722" s="8">
        <v>71</v>
      </c>
      <c r="H722" s="7">
        <f t="shared" si="33"/>
        <v>67.2</v>
      </c>
      <c r="I722" s="7" t="str">
        <f t="shared" si="34"/>
        <v>PASS</v>
      </c>
      <c r="J722" s="7" t="str">
        <f t="shared" si="35"/>
        <v>Low Risk</v>
      </c>
      <c r="L722" s="7" t="str">
        <f>IF(J722="High Risk",COUNTIF($J$3:J722,"High Risk"),"")</f>
        <v/>
      </c>
      <c r="M722" s="7">
        <f>RANK(H722,$H$3:$H$1002,0)+COUNTIF($H$3:H722,H722)-1</f>
        <v>493</v>
      </c>
    </row>
    <row r="723" spans="1:13" x14ac:dyDescent="0.35">
      <c r="A723" s="7" t="s">
        <v>1382</v>
      </c>
      <c r="B723" s="7" t="s">
        <v>999</v>
      </c>
      <c r="C723" s="8" t="s">
        <v>62</v>
      </c>
      <c r="D723" s="8" t="s">
        <v>57</v>
      </c>
      <c r="E723" s="8">
        <v>73.5</v>
      </c>
      <c r="F723" s="8">
        <v>5.5</v>
      </c>
      <c r="G723" s="8">
        <v>51</v>
      </c>
      <c r="H723" s="7">
        <f t="shared" si="33"/>
        <v>59</v>
      </c>
      <c r="I723" s="7" t="str">
        <f t="shared" si="34"/>
        <v>PASS</v>
      </c>
      <c r="J723" s="7" t="str">
        <f t="shared" si="35"/>
        <v>Medium Risk</v>
      </c>
      <c r="L723" s="7" t="str">
        <f>IF(J723="High Risk",COUNTIF($J$3:J723,"High Risk"),"")</f>
        <v/>
      </c>
      <c r="M723" s="7">
        <f>RANK(H723,$H$3:$H$1002,0)+COUNTIF($H$3:H723,H723)-1</f>
        <v>641</v>
      </c>
    </row>
    <row r="724" spans="1:13" x14ac:dyDescent="0.35">
      <c r="A724" s="7" t="s">
        <v>1383</v>
      </c>
      <c r="B724" s="7" t="s">
        <v>1384</v>
      </c>
      <c r="C724" s="8" t="s">
        <v>62</v>
      </c>
      <c r="D724" s="8" t="s">
        <v>68</v>
      </c>
      <c r="E724" s="8">
        <v>73.5</v>
      </c>
      <c r="F724" s="8">
        <v>8.1999999999999993</v>
      </c>
      <c r="G724" s="8">
        <v>77</v>
      </c>
      <c r="H724" s="7">
        <f t="shared" si="33"/>
        <v>77.5</v>
      </c>
      <c r="I724" s="7" t="str">
        <f t="shared" si="34"/>
        <v>PASS</v>
      </c>
      <c r="J724" s="7" t="str">
        <f t="shared" si="35"/>
        <v>Low Risk</v>
      </c>
      <c r="L724" s="7" t="str">
        <f>IF(J724="High Risk",COUNTIF($J$3:J724,"High Risk"),"")</f>
        <v/>
      </c>
      <c r="M724" s="7">
        <f>RANK(H724,$H$3:$H$1002,0)+COUNTIF($H$3:H724,H724)-1</f>
        <v>283</v>
      </c>
    </row>
    <row r="725" spans="1:13" x14ac:dyDescent="0.35">
      <c r="A725" s="7" t="s">
        <v>1385</v>
      </c>
      <c r="B725" s="7" t="s">
        <v>1386</v>
      </c>
      <c r="C725" s="8" t="s">
        <v>56</v>
      </c>
      <c r="D725" s="8" t="s">
        <v>63</v>
      </c>
      <c r="E725" s="8">
        <v>73.599999999999994</v>
      </c>
      <c r="F725" s="8">
        <v>8.3000000000000007</v>
      </c>
      <c r="G725" s="8">
        <v>59</v>
      </c>
      <c r="H725" s="7">
        <f t="shared" si="33"/>
        <v>70.599999999999994</v>
      </c>
      <c r="I725" s="7" t="str">
        <f t="shared" si="34"/>
        <v>PASS</v>
      </c>
      <c r="J725" s="7" t="str">
        <f t="shared" si="35"/>
        <v>Low Risk</v>
      </c>
      <c r="L725" s="7" t="str">
        <f>IF(J725="High Risk",COUNTIF($J$3:J725,"High Risk"),"")</f>
        <v/>
      </c>
      <c r="M725" s="7">
        <f>RANK(H725,$H$3:$H$1002,0)+COUNTIF($H$3:H725,H725)-1</f>
        <v>419</v>
      </c>
    </row>
    <row r="726" spans="1:13" x14ac:dyDescent="0.35">
      <c r="A726" s="7" t="s">
        <v>1387</v>
      </c>
      <c r="B726" s="7" t="s">
        <v>1388</v>
      </c>
      <c r="C726" s="8" t="s">
        <v>56</v>
      </c>
      <c r="D726" s="8" t="s">
        <v>68</v>
      </c>
      <c r="E726" s="8">
        <v>100</v>
      </c>
      <c r="F726" s="8">
        <v>9.4</v>
      </c>
      <c r="G726" s="8">
        <v>84</v>
      </c>
      <c r="H726" s="7">
        <f t="shared" si="33"/>
        <v>91.8</v>
      </c>
      <c r="I726" s="7" t="str">
        <f t="shared" si="34"/>
        <v>PASS</v>
      </c>
      <c r="J726" s="7" t="str">
        <f t="shared" si="35"/>
        <v>Low Risk</v>
      </c>
      <c r="L726" s="7" t="str">
        <f>IF(J726="High Risk",COUNTIF($J$3:J726,"High Risk"),"")</f>
        <v/>
      </c>
      <c r="M726" s="7">
        <f>RANK(H726,$H$3:$H$1002,0)+COUNTIF($H$3:H726,H726)-1</f>
        <v>83</v>
      </c>
    </row>
    <row r="727" spans="1:13" x14ac:dyDescent="0.35">
      <c r="A727" s="7" t="s">
        <v>1389</v>
      </c>
      <c r="B727" s="7" t="s">
        <v>980</v>
      </c>
      <c r="C727" s="8" t="s">
        <v>62</v>
      </c>
      <c r="D727" s="8" t="s">
        <v>57</v>
      </c>
      <c r="E727" s="8">
        <v>85</v>
      </c>
      <c r="F727" s="8">
        <v>3.6</v>
      </c>
      <c r="G727" s="8">
        <v>66</v>
      </c>
      <c r="H727" s="7">
        <f t="shared" si="33"/>
        <v>62.7</v>
      </c>
      <c r="I727" s="7" t="str">
        <f t="shared" si="34"/>
        <v>PASS</v>
      </c>
      <c r="J727" s="7" t="str">
        <f t="shared" si="35"/>
        <v>Medium Risk</v>
      </c>
      <c r="L727" s="7" t="str">
        <f>IF(J727="High Risk",COUNTIF($J$3:J727,"High Risk"),"")</f>
        <v/>
      </c>
      <c r="M727" s="7">
        <f>RANK(H727,$H$3:$H$1002,0)+COUNTIF($H$3:H727,H727)-1</f>
        <v>567</v>
      </c>
    </row>
    <row r="728" spans="1:13" x14ac:dyDescent="0.35">
      <c r="A728" s="7" t="s">
        <v>1390</v>
      </c>
      <c r="B728" s="7" t="s">
        <v>1391</v>
      </c>
      <c r="C728" s="8" t="s">
        <v>56</v>
      </c>
      <c r="D728" s="8" t="s">
        <v>57</v>
      </c>
      <c r="E728" s="8">
        <v>100</v>
      </c>
      <c r="F728" s="8">
        <v>10</v>
      </c>
      <c r="G728" s="8">
        <v>92</v>
      </c>
      <c r="H728" s="7">
        <f t="shared" si="33"/>
        <v>96.8</v>
      </c>
      <c r="I728" s="7" t="str">
        <f t="shared" si="34"/>
        <v>PASS</v>
      </c>
      <c r="J728" s="7" t="str">
        <f t="shared" si="35"/>
        <v>Low Risk</v>
      </c>
      <c r="L728" s="7" t="str">
        <f>IF(J728="High Risk",COUNTIF($J$3:J728,"High Risk"),"")</f>
        <v/>
      </c>
      <c r="M728" s="7">
        <f>RANK(H728,$H$3:$H$1002,0)+COUNTIF($H$3:H728,H728)-1</f>
        <v>40</v>
      </c>
    </row>
    <row r="729" spans="1:13" x14ac:dyDescent="0.35">
      <c r="A729" s="7" t="s">
        <v>1392</v>
      </c>
      <c r="B729" s="7" t="s">
        <v>1393</v>
      </c>
      <c r="C729" s="8" t="s">
        <v>62</v>
      </c>
      <c r="D729" s="8" t="s">
        <v>57</v>
      </c>
      <c r="E729" s="8">
        <v>95.3</v>
      </c>
      <c r="F729" s="8">
        <v>9.1999999999999993</v>
      </c>
      <c r="G729" s="8">
        <v>88</v>
      </c>
      <c r="H729" s="7">
        <f t="shared" si="33"/>
        <v>91.4</v>
      </c>
      <c r="I729" s="7" t="str">
        <f t="shared" si="34"/>
        <v>PASS</v>
      </c>
      <c r="J729" s="7" t="str">
        <f t="shared" si="35"/>
        <v>Low Risk</v>
      </c>
      <c r="L729" s="7" t="str">
        <f>IF(J729="High Risk",COUNTIF($J$3:J729,"High Risk"),"")</f>
        <v/>
      </c>
      <c r="M729" s="7">
        <f>RANK(H729,$H$3:$H$1002,0)+COUNTIF($H$3:H729,H729)-1</f>
        <v>93</v>
      </c>
    </row>
    <row r="730" spans="1:13" x14ac:dyDescent="0.35">
      <c r="A730" s="7" t="s">
        <v>1394</v>
      </c>
      <c r="B730" s="7" t="s">
        <v>1395</v>
      </c>
      <c r="C730" s="8" t="s">
        <v>62</v>
      </c>
      <c r="D730" s="8" t="s">
        <v>75</v>
      </c>
      <c r="E730" s="8">
        <v>69</v>
      </c>
      <c r="F730" s="8">
        <v>2.1</v>
      </c>
      <c r="G730" s="8">
        <v>59</v>
      </c>
      <c r="H730" s="7">
        <f t="shared" si="33"/>
        <v>50.6</v>
      </c>
      <c r="I730" s="7" t="str">
        <f t="shared" si="34"/>
        <v>PASS</v>
      </c>
      <c r="J730" s="7" t="str">
        <f t="shared" si="35"/>
        <v>Medium Risk</v>
      </c>
      <c r="L730" s="7" t="str">
        <f>IF(J730="High Risk",COUNTIF($J$3:J730,"High Risk"),"")</f>
        <v/>
      </c>
      <c r="M730" s="7">
        <f>RANK(H730,$H$3:$H$1002,0)+COUNTIF($H$3:H730,H730)-1</f>
        <v>792</v>
      </c>
    </row>
    <row r="731" spans="1:13" x14ac:dyDescent="0.35">
      <c r="A731" s="7" t="s">
        <v>1396</v>
      </c>
      <c r="B731" s="7" t="s">
        <v>1397</v>
      </c>
      <c r="C731" s="8" t="s">
        <v>56</v>
      </c>
      <c r="D731" s="8" t="s">
        <v>57</v>
      </c>
      <c r="E731" s="8">
        <v>64.599999999999994</v>
      </c>
      <c r="F731" s="8">
        <v>4.9000000000000004</v>
      </c>
      <c r="G731" s="8">
        <v>41</v>
      </c>
      <c r="H731" s="7">
        <f t="shared" si="33"/>
        <v>50.5</v>
      </c>
      <c r="I731" s="7" t="str">
        <f t="shared" si="34"/>
        <v>PASS</v>
      </c>
      <c r="J731" s="7" t="str">
        <f t="shared" si="35"/>
        <v>Medium Risk</v>
      </c>
      <c r="L731" s="7" t="str">
        <f>IF(J731="High Risk",COUNTIF($J$3:J731,"High Risk"),"")</f>
        <v/>
      </c>
      <c r="M731" s="7">
        <f>RANK(H731,$H$3:$H$1002,0)+COUNTIF($H$3:H731,H731)-1</f>
        <v>795</v>
      </c>
    </row>
    <row r="732" spans="1:13" x14ac:dyDescent="0.35">
      <c r="A732" s="7" t="s">
        <v>1398</v>
      </c>
      <c r="B732" s="7" t="s">
        <v>1399</v>
      </c>
      <c r="C732" s="8" t="s">
        <v>62</v>
      </c>
      <c r="D732" s="8" t="s">
        <v>75</v>
      </c>
      <c r="E732" s="8">
        <v>73.2</v>
      </c>
      <c r="F732" s="8">
        <v>6.6</v>
      </c>
      <c r="G732" s="8">
        <v>67</v>
      </c>
      <c r="H732" s="7">
        <f t="shared" si="33"/>
        <v>68.599999999999994</v>
      </c>
      <c r="I732" s="7" t="str">
        <f t="shared" si="34"/>
        <v>PASS</v>
      </c>
      <c r="J732" s="7" t="str">
        <f t="shared" si="35"/>
        <v>Low Risk</v>
      </c>
      <c r="L732" s="7" t="str">
        <f>IF(J732="High Risk",COUNTIF($J$3:J732,"High Risk"),"")</f>
        <v/>
      </c>
      <c r="M732" s="7">
        <f>RANK(H732,$H$3:$H$1002,0)+COUNTIF($H$3:H732,H732)-1</f>
        <v>463</v>
      </c>
    </row>
    <row r="733" spans="1:13" x14ac:dyDescent="0.35">
      <c r="A733" s="7" t="s">
        <v>1400</v>
      </c>
      <c r="B733" s="7" t="s">
        <v>1401</v>
      </c>
      <c r="C733" s="8" t="s">
        <v>62</v>
      </c>
      <c r="D733" s="8" t="s">
        <v>57</v>
      </c>
      <c r="E733" s="8">
        <v>70.8</v>
      </c>
      <c r="F733" s="8">
        <v>8.5</v>
      </c>
      <c r="G733" s="8">
        <v>76</v>
      </c>
      <c r="H733" s="7">
        <f t="shared" si="33"/>
        <v>77.099999999999994</v>
      </c>
      <c r="I733" s="7" t="str">
        <f t="shared" si="34"/>
        <v>PASS</v>
      </c>
      <c r="J733" s="7" t="str">
        <f t="shared" si="35"/>
        <v>Low Risk</v>
      </c>
      <c r="L733" s="7" t="str">
        <f>IF(J733="High Risk",COUNTIF($J$3:J733,"High Risk"),"")</f>
        <v/>
      </c>
      <c r="M733" s="7">
        <f>RANK(H733,$H$3:$H$1002,0)+COUNTIF($H$3:H733,H733)-1</f>
        <v>289</v>
      </c>
    </row>
    <row r="734" spans="1:13" x14ac:dyDescent="0.35">
      <c r="A734" s="7" t="s">
        <v>1402</v>
      </c>
      <c r="B734" s="7" t="s">
        <v>283</v>
      </c>
      <c r="C734" s="8" t="s">
        <v>62</v>
      </c>
      <c r="D734" s="8" t="s">
        <v>68</v>
      </c>
      <c r="E734" s="8">
        <v>100</v>
      </c>
      <c r="F734" s="8">
        <v>9.1999999999999993</v>
      </c>
      <c r="G734" s="8">
        <v>91</v>
      </c>
      <c r="H734" s="7">
        <f t="shared" si="33"/>
        <v>94</v>
      </c>
      <c r="I734" s="7" t="str">
        <f t="shared" si="34"/>
        <v>PASS</v>
      </c>
      <c r="J734" s="7" t="str">
        <f t="shared" si="35"/>
        <v>Low Risk</v>
      </c>
      <c r="L734" s="7" t="str">
        <f>IF(J734="High Risk",COUNTIF($J$3:J734,"High Risk"),"")</f>
        <v/>
      </c>
      <c r="M734" s="7">
        <f>RANK(H734,$H$3:$H$1002,0)+COUNTIF($H$3:H734,H734)-1</f>
        <v>65</v>
      </c>
    </row>
    <row r="735" spans="1:13" x14ac:dyDescent="0.35">
      <c r="A735" s="7" t="s">
        <v>1403</v>
      </c>
      <c r="B735" s="7" t="s">
        <v>970</v>
      </c>
      <c r="C735" s="8" t="s">
        <v>56</v>
      </c>
      <c r="D735" s="8" t="s">
        <v>63</v>
      </c>
      <c r="E735" s="8">
        <v>66.400000000000006</v>
      </c>
      <c r="F735" s="8">
        <v>6.8</v>
      </c>
      <c r="G735" s="8">
        <v>73</v>
      </c>
      <c r="H735" s="7">
        <f t="shared" si="33"/>
        <v>69.5</v>
      </c>
      <c r="I735" s="7" t="str">
        <f t="shared" si="34"/>
        <v>PASS</v>
      </c>
      <c r="J735" s="7" t="str">
        <f t="shared" si="35"/>
        <v>Low Risk</v>
      </c>
      <c r="L735" s="7" t="str">
        <f>IF(J735="High Risk",COUNTIF($J$3:J735,"High Risk"),"")</f>
        <v/>
      </c>
      <c r="M735" s="7">
        <f>RANK(H735,$H$3:$H$1002,0)+COUNTIF($H$3:H735,H735)-1</f>
        <v>444</v>
      </c>
    </row>
    <row r="736" spans="1:13" x14ac:dyDescent="0.35">
      <c r="A736" s="7" t="s">
        <v>1404</v>
      </c>
      <c r="B736" s="7" t="s">
        <v>1187</v>
      </c>
      <c r="C736" s="8" t="s">
        <v>62</v>
      </c>
      <c r="D736" s="8" t="s">
        <v>75</v>
      </c>
      <c r="E736" s="8">
        <v>76.5</v>
      </c>
      <c r="F736" s="8">
        <v>5.8</v>
      </c>
      <c r="G736" s="8">
        <v>79</v>
      </c>
      <c r="H736" s="7">
        <f t="shared" si="33"/>
        <v>72</v>
      </c>
      <c r="I736" s="7" t="str">
        <f t="shared" si="34"/>
        <v>PASS</v>
      </c>
      <c r="J736" s="7" t="str">
        <f t="shared" si="35"/>
        <v>Low Risk</v>
      </c>
      <c r="L736" s="7" t="str">
        <f>IF(J736="High Risk",COUNTIF($J$3:J736,"High Risk"),"")</f>
        <v/>
      </c>
      <c r="M736" s="7">
        <f>RANK(H736,$H$3:$H$1002,0)+COUNTIF($H$3:H736,H736)-1</f>
        <v>384</v>
      </c>
    </row>
    <row r="737" spans="1:13" x14ac:dyDescent="0.35">
      <c r="A737" s="7" t="s">
        <v>1405</v>
      </c>
      <c r="B737" s="7" t="s">
        <v>1406</v>
      </c>
      <c r="C737" s="8" t="s">
        <v>56</v>
      </c>
      <c r="D737" s="8" t="s">
        <v>63</v>
      </c>
      <c r="E737" s="8">
        <v>96.3</v>
      </c>
      <c r="F737" s="8">
        <v>9.9</v>
      </c>
      <c r="G737" s="8">
        <v>83</v>
      </c>
      <c r="H737" s="7">
        <f t="shared" si="33"/>
        <v>91.8</v>
      </c>
      <c r="I737" s="7" t="str">
        <f t="shared" si="34"/>
        <v>PASS</v>
      </c>
      <c r="J737" s="7" t="str">
        <f t="shared" si="35"/>
        <v>Low Risk</v>
      </c>
      <c r="L737" s="7" t="str">
        <f>IF(J737="High Risk",COUNTIF($J$3:J737,"High Risk"),"")</f>
        <v/>
      </c>
      <c r="M737" s="7">
        <f>RANK(H737,$H$3:$H$1002,0)+COUNTIF($H$3:H737,H737)-1</f>
        <v>84</v>
      </c>
    </row>
    <row r="738" spans="1:13" x14ac:dyDescent="0.35">
      <c r="A738" s="7" t="s">
        <v>1407</v>
      </c>
      <c r="B738" s="7" t="s">
        <v>1408</v>
      </c>
      <c r="C738" s="8" t="s">
        <v>62</v>
      </c>
      <c r="D738" s="8" t="s">
        <v>75</v>
      </c>
      <c r="E738" s="8">
        <v>54.4</v>
      </c>
      <c r="F738" s="8">
        <v>5.5</v>
      </c>
      <c r="G738" s="8">
        <v>50</v>
      </c>
      <c r="H738" s="7">
        <f t="shared" si="33"/>
        <v>52.8</v>
      </c>
      <c r="I738" s="7" t="str">
        <f t="shared" si="34"/>
        <v>PASS</v>
      </c>
      <c r="J738" s="7" t="str">
        <f t="shared" si="35"/>
        <v>Medium Risk</v>
      </c>
      <c r="L738" s="7" t="str">
        <f>IF(J738="High Risk",COUNTIF($J$3:J738,"High Risk"),"")</f>
        <v/>
      </c>
      <c r="M738" s="7">
        <f>RANK(H738,$H$3:$H$1002,0)+COUNTIF($H$3:H738,H738)-1</f>
        <v>755</v>
      </c>
    </row>
    <row r="739" spans="1:13" x14ac:dyDescent="0.35">
      <c r="A739" s="7" t="s">
        <v>1409</v>
      </c>
      <c r="B739" s="7" t="s">
        <v>1410</v>
      </c>
      <c r="C739" s="8" t="s">
        <v>62</v>
      </c>
      <c r="D739" s="8" t="s">
        <v>63</v>
      </c>
      <c r="E739" s="8">
        <v>46.3</v>
      </c>
      <c r="F739" s="8">
        <v>0</v>
      </c>
      <c r="G739" s="8">
        <v>24</v>
      </c>
      <c r="H739" s="7">
        <f t="shared" si="33"/>
        <v>23.5</v>
      </c>
      <c r="I739" s="7" t="str">
        <f t="shared" si="34"/>
        <v>FAIL</v>
      </c>
      <c r="J739" s="7" t="str">
        <f t="shared" si="35"/>
        <v>High Risk</v>
      </c>
      <c r="L739" s="7">
        <f>IF(J739="High Risk",COUNTIF($J$3:J739,"High Risk"),"")</f>
        <v>142</v>
      </c>
      <c r="M739" s="7">
        <f>RANK(H739,$H$3:$H$1002,0)+COUNTIF($H$3:H739,H739)-1</f>
        <v>988</v>
      </c>
    </row>
    <row r="740" spans="1:13" x14ac:dyDescent="0.35">
      <c r="A740" s="7" t="s">
        <v>1411</v>
      </c>
      <c r="B740" s="7" t="s">
        <v>1412</v>
      </c>
      <c r="C740" s="8" t="s">
        <v>56</v>
      </c>
      <c r="D740" s="8" t="s">
        <v>63</v>
      </c>
      <c r="E740" s="8">
        <v>60.8</v>
      </c>
      <c r="F740" s="8">
        <v>6.2</v>
      </c>
      <c r="G740" s="8">
        <v>60</v>
      </c>
      <c r="H740" s="7">
        <f t="shared" si="33"/>
        <v>60.8</v>
      </c>
      <c r="I740" s="7" t="str">
        <f t="shared" si="34"/>
        <v>PASS</v>
      </c>
      <c r="J740" s="7" t="str">
        <f t="shared" si="35"/>
        <v>Medium Risk</v>
      </c>
      <c r="L740" s="7" t="str">
        <f>IF(J740="High Risk",COUNTIF($J$3:J740,"High Risk"),"")</f>
        <v/>
      </c>
      <c r="M740" s="7">
        <f>RANK(H740,$H$3:$H$1002,0)+COUNTIF($H$3:H740,H740)-1</f>
        <v>604</v>
      </c>
    </row>
    <row r="741" spans="1:13" x14ac:dyDescent="0.35">
      <c r="A741" s="7" t="s">
        <v>1413</v>
      </c>
      <c r="B741" s="7" t="s">
        <v>1414</v>
      </c>
      <c r="C741" s="8" t="s">
        <v>62</v>
      </c>
      <c r="D741" s="8" t="s">
        <v>57</v>
      </c>
      <c r="E741" s="8">
        <v>65.2</v>
      </c>
      <c r="F741" s="8">
        <v>2</v>
      </c>
      <c r="G741" s="8">
        <v>58</v>
      </c>
      <c r="H741" s="7">
        <f t="shared" si="33"/>
        <v>48.8</v>
      </c>
      <c r="I741" s="7" t="str">
        <f t="shared" si="34"/>
        <v>FAIL</v>
      </c>
      <c r="J741" s="7" t="str">
        <f t="shared" si="35"/>
        <v>High Risk</v>
      </c>
      <c r="L741" s="7">
        <f>IF(J741="High Risk",COUNTIF($J$3:J741,"High Risk"),"")</f>
        <v>143</v>
      </c>
      <c r="M741" s="7">
        <f>RANK(H741,$H$3:$H$1002,0)+COUNTIF($H$3:H741,H741)-1</f>
        <v>818</v>
      </c>
    </row>
    <row r="742" spans="1:13" x14ac:dyDescent="0.35">
      <c r="A742" s="7" t="s">
        <v>1415</v>
      </c>
      <c r="B742" s="7" t="s">
        <v>1305</v>
      </c>
      <c r="C742" s="8" t="s">
        <v>62</v>
      </c>
      <c r="D742" s="8" t="s">
        <v>63</v>
      </c>
      <c r="E742" s="8">
        <v>86.8</v>
      </c>
      <c r="F742" s="8">
        <v>9.1</v>
      </c>
      <c r="G742" s="8">
        <v>82</v>
      </c>
      <c r="H742" s="7">
        <f t="shared" si="33"/>
        <v>86.1</v>
      </c>
      <c r="I742" s="7" t="str">
        <f t="shared" si="34"/>
        <v>PASS</v>
      </c>
      <c r="J742" s="7" t="str">
        <f t="shared" si="35"/>
        <v>Low Risk</v>
      </c>
      <c r="L742" s="7" t="str">
        <f>IF(J742="High Risk",COUNTIF($J$3:J742,"High Risk"),"")</f>
        <v/>
      </c>
      <c r="M742" s="7">
        <f>RANK(H742,$H$3:$H$1002,0)+COUNTIF($H$3:H742,H742)-1</f>
        <v>155</v>
      </c>
    </row>
    <row r="743" spans="1:13" x14ac:dyDescent="0.35">
      <c r="A743" s="7" t="s">
        <v>1416</v>
      </c>
      <c r="B743" s="7" t="s">
        <v>488</v>
      </c>
      <c r="C743" s="8" t="s">
        <v>56</v>
      </c>
      <c r="D743" s="8" t="s">
        <v>63</v>
      </c>
      <c r="E743" s="8">
        <v>65</v>
      </c>
      <c r="F743" s="8">
        <v>2.5</v>
      </c>
      <c r="G743" s="8">
        <v>48</v>
      </c>
      <c r="H743" s="7">
        <f t="shared" si="33"/>
        <v>46.2</v>
      </c>
      <c r="I743" s="7" t="str">
        <f t="shared" si="34"/>
        <v>FAIL</v>
      </c>
      <c r="J743" s="7" t="str">
        <f t="shared" si="35"/>
        <v>High Risk</v>
      </c>
      <c r="L743" s="7">
        <f>IF(J743="High Risk",COUNTIF($J$3:J743,"High Risk"),"")</f>
        <v>144</v>
      </c>
      <c r="M743" s="7">
        <f>RANK(H743,$H$3:$H$1002,0)+COUNTIF($H$3:H743,H743)-1</f>
        <v>845</v>
      </c>
    </row>
    <row r="744" spans="1:13" x14ac:dyDescent="0.35">
      <c r="A744" s="7" t="s">
        <v>1417</v>
      </c>
      <c r="B744" s="7" t="s">
        <v>1045</v>
      </c>
      <c r="C744" s="8" t="s">
        <v>56</v>
      </c>
      <c r="D744" s="8" t="s">
        <v>75</v>
      </c>
      <c r="E744" s="8">
        <v>37.5</v>
      </c>
      <c r="F744" s="8">
        <v>0</v>
      </c>
      <c r="G744" s="8">
        <v>51</v>
      </c>
      <c r="H744" s="7">
        <f t="shared" si="33"/>
        <v>31.7</v>
      </c>
      <c r="I744" s="7" t="str">
        <f t="shared" si="34"/>
        <v>FAIL</v>
      </c>
      <c r="J744" s="7" t="str">
        <f t="shared" si="35"/>
        <v>High Risk</v>
      </c>
      <c r="L744" s="7">
        <f>IF(J744="High Risk",COUNTIF($J$3:J744,"High Risk"),"")</f>
        <v>145</v>
      </c>
      <c r="M744" s="7">
        <f>RANK(H744,$H$3:$H$1002,0)+COUNTIF($H$3:H744,H744)-1</f>
        <v>957</v>
      </c>
    </row>
    <row r="745" spans="1:13" x14ac:dyDescent="0.35">
      <c r="A745" s="7" t="s">
        <v>1418</v>
      </c>
      <c r="B745" s="7" t="s">
        <v>737</v>
      </c>
      <c r="C745" s="8" t="s">
        <v>62</v>
      </c>
      <c r="D745" s="8" t="s">
        <v>75</v>
      </c>
      <c r="E745" s="8">
        <v>77.2</v>
      </c>
      <c r="F745" s="8">
        <v>8.1</v>
      </c>
      <c r="G745" s="8">
        <v>66</v>
      </c>
      <c r="H745" s="7">
        <f t="shared" si="33"/>
        <v>73.900000000000006</v>
      </c>
      <c r="I745" s="7" t="str">
        <f t="shared" si="34"/>
        <v>PASS</v>
      </c>
      <c r="J745" s="7" t="str">
        <f t="shared" si="35"/>
        <v>Low Risk</v>
      </c>
      <c r="L745" s="7" t="str">
        <f>IF(J745="High Risk",COUNTIF($J$3:J745,"High Risk"),"")</f>
        <v/>
      </c>
      <c r="M745" s="7">
        <f>RANK(H745,$H$3:$H$1002,0)+COUNTIF($H$3:H745,H745)-1</f>
        <v>342</v>
      </c>
    </row>
    <row r="746" spans="1:13" x14ac:dyDescent="0.35">
      <c r="A746" s="7" t="s">
        <v>1419</v>
      </c>
      <c r="B746" s="7" t="s">
        <v>1420</v>
      </c>
      <c r="C746" s="8" t="s">
        <v>56</v>
      </c>
      <c r="D746" s="8" t="s">
        <v>57</v>
      </c>
      <c r="E746" s="8">
        <v>94.8</v>
      </c>
      <c r="F746" s="8">
        <v>13.6</v>
      </c>
      <c r="G746" s="8">
        <v>97</v>
      </c>
      <c r="H746" s="7">
        <f t="shared" si="33"/>
        <v>97.2</v>
      </c>
      <c r="I746" s="7" t="str">
        <f t="shared" si="34"/>
        <v>PASS</v>
      </c>
      <c r="J746" s="7" t="str">
        <f t="shared" si="35"/>
        <v>Low Risk</v>
      </c>
      <c r="L746" s="7" t="str">
        <f>IF(J746="High Risk",COUNTIF($J$3:J746,"High Risk"),"")</f>
        <v/>
      </c>
      <c r="M746" s="7">
        <f>RANK(H746,$H$3:$H$1002,0)+COUNTIF($H$3:H746,H746)-1</f>
        <v>35</v>
      </c>
    </row>
    <row r="747" spans="1:13" x14ac:dyDescent="0.35">
      <c r="A747" s="7" t="s">
        <v>1421</v>
      </c>
      <c r="B747" s="7" t="s">
        <v>1422</v>
      </c>
      <c r="C747" s="8" t="s">
        <v>62</v>
      </c>
      <c r="D747" s="8" t="s">
        <v>75</v>
      </c>
      <c r="E747" s="8">
        <v>92.3</v>
      </c>
      <c r="F747" s="8">
        <v>6.5</v>
      </c>
      <c r="G747" s="8">
        <v>75</v>
      </c>
      <c r="H747" s="7">
        <f t="shared" si="33"/>
        <v>77.2</v>
      </c>
      <c r="I747" s="7" t="str">
        <f t="shared" si="34"/>
        <v>PASS</v>
      </c>
      <c r="J747" s="7" t="str">
        <f t="shared" si="35"/>
        <v>Low Risk</v>
      </c>
      <c r="L747" s="7" t="str">
        <f>IF(J747="High Risk",COUNTIF($J$3:J747,"High Risk"),"")</f>
        <v/>
      </c>
      <c r="M747" s="7">
        <f>RANK(H747,$H$3:$H$1002,0)+COUNTIF($H$3:H747,H747)-1</f>
        <v>286</v>
      </c>
    </row>
    <row r="748" spans="1:13" x14ac:dyDescent="0.35">
      <c r="A748" s="7" t="s">
        <v>1423</v>
      </c>
      <c r="B748" s="7" t="s">
        <v>1424</v>
      </c>
      <c r="C748" s="8" t="s">
        <v>62</v>
      </c>
      <c r="D748" s="8" t="s">
        <v>75</v>
      </c>
      <c r="E748" s="8">
        <v>82</v>
      </c>
      <c r="F748" s="8">
        <v>7.8</v>
      </c>
      <c r="G748" s="8">
        <v>74</v>
      </c>
      <c r="H748" s="7">
        <f t="shared" si="33"/>
        <v>77.599999999999994</v>
      </c>
      <c r="I748" s="7" t="str">
        <f t="shared" si="34"/>
        <v>PASS</v>
      </c>
      <c r="J748" s="7" t="str">
        <f t="shared" si="35"/>
        <v>Low Risk</v>
      </c>
      <c r="L748" s="7" t="str">
        <f>IF(J748="High Risk",COUNTIF($J$3:J748,"High Risk"),"")</f>
        <v/>
      </c>
      <c r="M748" s="7">
        <f>RANK(H748,$H$3:$H$1002,0)+COUNTIF($H$3:H748,H748)-1</f>
        <v>282</v>
      </c>
    </row>
    <row r="749" spans="1:13" x14ac:dyDescent="0.35">
      <c r="A749" s="7" t="s">
        <v>1425</v>
      </c>
      <c r="B749" s="7" t="s">
        <v>1426</v>
      </c>
      <c r="C749" s="8" t="s">
        <v>62</v>
      </c>
      <c r="D749" s="8" t="s">
        <v>57</v>
      </c>
      <c r="E749" s="8">
        <v>97.1</v>
      </c>
      <c r="F749" s="8">
        <v>10.199999999999999</v>
      </c>
      <c r="G749" s="8">
        <v>89</v>
      </c>
      <c r="H749" s="7">
        <f t="shared" si="33"/>
        <v>94.7</v>
      </c>
      <c r="I749" s="7" t="str">
        <f t="shared" si="34"/>
        <v>PASS</v>
      </c>
      <c r="J749" s="7" t="str">
        <f t="shared" si="35"/>
        <v>Low Risk</v>
      </c>
      <c r="L749" s="7" t="str">
        <f>IF(J749="High Risk",COUNTIF($J$3:J749,"High Risk"),"")</f>
        <v/>
      </c>
      <c r="M749" s="7">
        <f>RANK(H749,$H$3:$H$1002,0)+COUNTIF($H$3:H749,H749)-1</f>
        <v>59</v>
      </c>
    </row>
    <row r="750" spans="1:13" x14ac:dyDescent="0.35">
      <c r="A750" s="7" t="s">
        <v>1427</v>
      </c>
      <c r="B750" s="7" t="s">
        <v>1064</v>
      </c>
      <c r="C750" s="8" t="s">
        <v>56</v>
      </c>
      <c r="D750" s="8" t="s">
        <v>68</v>
      </c>
      <c r="E750" s="8">
        <v>34.5</v>
      </c>
      <c r="F750" s="8">
        <v>2.9</v>
      </c>
      <c r="G750" s="8">
        <v>46</v>
      </c>
      <c r="H750" s="7">
        <f t="shared" si="33"/>
        <v>37.5</v>
      </c>
      <c r="I750" s="7" t="str">
        <f t="shared" si="34"/>
        <v>FAIL</v>
      </c>
      <c r="J750" s="7" t="str">
        <f t="shared" si="35"/>
        <v>High Risk</v>
      </c>
      <c r="L750" s="7">
        <f>IF(J750="High Risk",COUNTIF($J$3:J750,"High Risk"),"")</f>
        <v>146</v>
      </c>
      <c r="M750" s="7">
        <f>RANK(H750,$H$3:$H$1002,0)+COUNTIF($H$3:H750,H750)-1</f>
        <v>927</v>
      </c>
    </row>
    <row r="751" spans="1:13" x14ac:dyDescent="0.35">
      <c r="A751" s="7" t="s">
        <v>1428</v>
      </c>
      <c r="B751" s="7" t="s">
        <v>1326</v>
      </c>
      <c r="C751" s="8" t="s">
        <v>62</v>
      </c>
      <c r="D751" s="8" t="s">
        <v>68</v>
      </c>
      <c r="E751" s="8">
        <v>46</v>
      </c>
      <c r="F751" s="8">
        <v>2.6</v>
      </c>
      <c r="G751" s="8">
        <v>48</v>
      </c>
      <c r="H751" s="7">
        <f t="shared" si="33"/>
        <v>40.799999999999997</v>
      </c>
      <c r="I751" s="7" t="str">
        <f t="shared" si="34"/>
        <v>FAIL</v>
      </c>
      <c r="J751" s="7" t="str">
        <f t="shared" si="35"/>
        <v>High Risk</v>
      </c>
      <c r="L751" s="7">
        <f>IF(J751="High Risk",COUNTIF($J$3:J751,"High Risk"),"")</f>
        <v>147</v>
      </c>
      <c r="M751" s="7">
        <f>RANK(H751,$H$3:$H$1002,0)+COUNTIF($H$3:H751,H751)-1</f>
        <v>893</v>
      </c>
    </row>
    <row r="752" spans="1:13" x14ac:dyDescent="0.35">
      <c r="A752" s="7" t="s">
        <v>1429</v>
      </c>
      <c r="B752" s="7" t="s">
        <v>1430</v>
      </c>
      <c r="C752" s="8" t="s">
        <v>62</v>
      </c>
      <c r="D752" s="8" t="s">
        <v>75</v>
      </c>
      <c r="E752" s="8">
        <v>73.099999999999994</v>
      </c>
      <c r="F752" s="8">
        <v>3.1</v>
      </c>
      <c r="G752" s="8">
        <v>53</v>
      </c>
      <c r="H752" s="7">
        <f t="shared" si="33"/>
        <v>52.4</v>
      </c>
      <c r="I752" s="7" t="str">
        <f t="shared" si="34"/>
        <v>PASS</v>
      </c>
      <c r="J752" s="7" t="str">
        <f t="shared" si="35"/>
        <v>Medium Risk</v>
      </c>
      <c r="L752" s="7" t="str">
        <f>IF(J752="High Risk",COUNTIF($J$3:J752,"High Risk"),"")</f>
        <v/>
      </c>
      <c r="M752" s="7">
        <f>RANK(H752,$H$3:$H$1002,0)+COUNTIF($H$3:H752,H752)-1</f>
        <v>764</v>
      </c>
    </row>
    <row r="753" spans="1:13" x14ac:dyDescent="0.35">
      <c r="A753" s="7" t="s">
        <v>1431</v>
      </c>
      <c r="B753" s="7" t="s">
        <v>1432</v>
      </c>
      <c r="C753" s="8" t="s">
        <v>56</v>
      </c>
      <c r="D753" s="8" t="s">
        <v>57</v>
      </c>
      <c r="E753" s="8">
        <v>87.9</v>
      </c>
      <c r="F753" s="8">
        <v>9.4</v>
      </c>
      <c r="G753" s="8">
        <v>83</v>
      </c>
      <c r="H753" s="7">
        <f t="shared" si="33"/>
        <v>87.8</v>
      </c>
      <c r="I753" s="7" t="str">
        <f t="shared" si="34"/>
        <v>PASS</v>
      </c>
      <c r="J753" s="7" t="str">
        <f t="shared" si="35"/>
        <v>Low Risk</v>
      </c>
      <c r="L753" s="7" t="str">
        <f>IF(J753="High Risk",COUNTIF($J$3:J753,"High Risk"),"")</f>
        <v/>
      </c>
      <c r="M753" s="7">
        <f>RANK(H753,$H$3:$H$1002,0)+COUNTIF($H$3:H753,H753)-1</f>
        <v>128</v>
      </c>
    </row>
    <row r="754" spans="1:13" x14ac:dyDescent="0.35">
      <c r="A754" s="7" t="s">
        <v>1433</v>
      </c>
      <c r="B754" s="7" t="s">
        <v>1434</v>
      </c>
      <c r="C754" s="8" t="s">
        <v>62</v>
      </c>
      <c r="D754" s="8" t="s">
        <v>57</v>
      </c>
      <c r="E754" s="8">
        <v>53.6</v>
      </c>
      <c r="F754" s="8">
        <v>4</v>
      </c>
      <c r="G754" s="8">
        <v>51</v>
      </c>
      <c r="H754" s="7">
        <f t="shared" si="33"/>
        <v>48.5</v>
      </c>
      <c r="I754" s="7" t="str">
        <f t="shared" si="34"/>
        <v>FAIL</v>
      </c>
      <c r="J754" s="7" t="str">
        <f t="shared" si="35"/>
        <v>High Risk</v>
      </c>
      <c r="L754" s="7">
        <f>IF(J754="High Risk",COUNTIF($J$3:J754,"High Risk"),"")</f>
        <v>148</v>
      </c>
      <c r="M754" s="7">
        <f>RANK(H754,$H$3:$H$1002,0)+COUNTIF($H$3:H754,H754)-1</f>
        <v>821</v>
      </c>
    </row>
    <row r="755" spans="1:13" x14ac:dyDescent="0.35">
      <c r="A755" s="7" t="s">
        <v>1435</v>
      </c>
      <c r="B755" s="7" t="s">
        <v>359</v>
      </c>
      <c r="C755" s="8" t="s">
        <v>62</v>
      </c>
      <c r="D755" s="8" t="s">
        <v>57</v>
      </c>
      <c r="E755" s="8">
        <v>77.8</v>
      </c>
      <c r="F755" s="8">
        <v>3.9</v>
      </c>
      <c r="G755" s="8">
        <v>72</v>
      </c>
      <c r="H755" s="7">
        <f t="shared" si="33"/>
        <v>63.8</v>
      </c>
      <c r="I755" s="7" t="str">
        <f t="shared" si="34"/>
        <v>PASS</v>
      </c>
      <c r="J755" s="7" t="str">
        <f t="shared" si="35"/>
        <v>Medium Risk</v>
      </c>
      <c r="L755" s="7" t="str">
        <f>IF(J755="High Risk",COUNTIF($J$3:J755,"High Risk"),"")</f>
        <v/>
      </c>
      <c r="M755" s="7">
        <f>RANK(H755,$H$3:$H$1002,0)+COUNTIF($H$3:H755,H755)-1</f>
        <v>552</v>
      </c>
    </row>
    <row r="756" spans="1:13" x14ac:dyDescent="0.35">
      <c r="A756" s="7" t="s">
        <v>1436</v>
      </c>
      <c r="B756" s="7" t="s">
        <v>1437</v>
      </c>
      <c r="C756" s="8" t="s">
        <v>56</v>
      </c>
      <c r="D756" s="8" t="s">
        <v>75</v>
      </c>
      <c r="E756" s="8">
        <v>51.6</v>
      </c>
      <c r="F756" s="8">
        <v>4.8</v>
      </c>
      <c r="G756" s="8">
        <v>42</v>
      </c>
      <c r="H756" s="7">
        <f t="shared" si="33"/>
        <v>46.7</v>
      </c>
      <c r="I756" s="7" t="str">
        <f t="shared" si="34"/>
        <v>FAIL</v>
      </c>
      <c r="J756" s="7" t="str">
        <f t="shared" si="35"/>
        <v>High Risk</v>
      </c>
      <c r="L756" s="7">
        <f>IF(J756="High Risk",COUNTIF($J$3:J756,"High Risk"),"")</f>
        <v>149</v>
      </c>
      <c r="M756" s="7">
        <f>RANK(H756,$H$3:$H$1002,0)+COUNTIF($H$3:H756,H756)-1</f>
        <v>841</v>
      </c>
    </row>
    <row r="757" spans="1:13" x14ac:dyDescent="0.35">
      <c r="A757" s="7" t="s">
        <v>1438</v>
      </c>
      <c r="B757" s="7" t="s">
        <v>351</v>
      </c>
      <c r="C757" s="8" t="s">
        <v>56</v>
      </c>
      <c r="D757" s="8" t="s">
        <v>75</v>
      </c>
      <c r="E757" s="8">
        <v>53.6</v>
      </c>
      <c r="F757" s="8">
        <v>0</v>
      </c>
      <c r="G757" s="8">
        <v>50</v>
      </c>
      <c r="H757" s="7">
        <f t="shared" si="33"/>
        <v>36.1</v>
      </c>
      <c r="I757" s="7" t="str">
        <f t="shared" si="34"/>
        <v>FAIL</v>
      </c>
      <c r="J757" s="7" t="str">
        <f t="shared" si="35"/>
        <v>High Risk</v>
      </c>
      <c r="L757" s="7">
        <f>IF(J757="High Risk",COUNTIF($J$3:J757,"High Risk"),"")</f>
        <v>150</v>
      </c>
      <c r="M757" s="7">
        <f>RANK(H757,$H$3:$H$1002,0)+COUNTIF($H$3:H757,H757)-1</f>
        <v>939</v>
      </c>
    </row>
    <row r="758" spans="1:13" x14ac:dyDescent="0.35">
      <c r="A758" s="7" t="s">
        <v>1439</v>
      </c>
      <c r="B758" s="7" t="s">
        <v>1440</v>
      </c>
      <c r="C758" s="8" t="s">
        <v>62</v>
      </c>
      <c r="D758" s="8" t="s">
        <v>57</v>
      </c>
      <c r="E758" s="8">
        <v>90.9</v>
      </c>
      <c r="F758" s="8">
        <v>9.3000000000000007</v>
      </c>
      <c r="G758" s="8">
        <v>78</v>
      </c>
      <c r="H758" s="7">
        <f t="shared" si="33"/>
        <v>86.4</v>
      </c>
      <c r="I758" s="7" t="str">
        <f t="shared" si="34"/>
        <v>PASS</v>
      </c>
      <c r="J758" s="7" t="str">
        <f t="shared" si="35"/>
        <v>Low Risk</v>
      </c>
      <c r="L758" s="7" t="str">
        <f>IF(J758="High Risk",COUNTIF($J$3:J758,"High Risk"),"")</f>
        <v/>
      </c>
      <c r="M758" s="7">
        <f>RANK(H758,$H$3:$H$1002,0)+COUNTIF($H$3:H758,H758)-1</f>
        <v>150</v>
      </c>
    </row>
    <row r="759" spans="1:13" x14ac:dyDescent="0.35">
      <c r="A759" s="7" t="s">
        <v>1441</v>
      </c>
      <c r="B759" s="7" t="s">
        <v>1442</v>
      </c>
      <c r="C759" s="8" t="s">
        <v>56</v>
      </c>
      <c r="D759" s="8" t="s">
        <v>63</v>
      </c>
      <c r="E759" s="8">
        <v>50.2</v>
      </c>
      <c r="F759" s="8">
        <v>2</v>
      </c>
      <c r="G759" s="8">
        <v>56</v>
      </c>
      <c r="H759" s="7">
        <f t="shared" si="33"/>
        <v>43.5</v>
      </c>
      <c r="I759" s="7" t="str">
        <f t="shared" si="34"/>
        <v>FAIL</v>
      </c>
      <c r="J759" s="7" t="str">
        <f t="shared" si="35"/>
        <v>High Risk</v>
      </c>
      <c r="L759" s="7">
        <f>IF(J759="High Risk",COUNTIF($J$3:J759,"High Risk"),"")</f>
        <v>151</v>
      </c>
      <c r="M759" s="7">
        <f>RANK(H759,$H$3:$H$1002,0)+COUNTIF($H$3:H759,H759)-1</f>
        <v>868</v>
      </c>
    </row>
    <row r="760" spans="1:13" x14ac:dyDescent="0.35">
      <c r="A760" s="7" t="s">
        <v>1443</v>
      </c>
      <c r="B760" s="7" t="s">
        <v>1444</v>
      </c>
      <c r="C760" s="8" t="s">
        <v>56</v>
      </c>
      <c r="D760" s="8" t="s">
        <v>57</v>
      </c>
      <c r="E760" s="8">
        <v>45.2</v>
      </c>
      <c r="F760" s="8">
        <v>1</v>
      </c>
      <c r="G760" s="8">
        <v>39</v>
      </c>
      <c r="H760" s="7">
        <f t="shared" si="33"/>
        <v>32.200000000000003</v>
      </c>
      <c r="I760" s="7" t="str">
        <f t="shared" si="34"/>
        <v>FAIL</v>
      </c>
      <c r="J760" s="7" t="str">
        <f t="shared" si="35"/>
        <v>High Risk</v>
      </c>
      <c r="L760" s="7">
        <f>IF(J760="High Risk",COUNTIF($J$3:J760,"High Risk"),"")</f>
        <v>152</v>
      </c>
      <c r="M760" s="7">
        <f>RANK(H760,$H$3:$H$1002,0)+COUNTIF($H$3:H760,H760)-1</f>
        <v>953</v>
      </c>
    </row>
    <row r="761" spans="1:13" x14ac:dyDescent="0.35">
      <c r="A761" s="7" t="s">
        <v>1445</v>
      </c>
      <c r="B761" s="7" t="s">
        <v>1446</v>
      </c>
      <c r="C761" s="8" t="s">
        <v>62</v>
      </c>
      <c r="D761" s="8" t="s">
        <v>57</v>
      </c>
      <c r="E761" s="8">
        <v>63</v>
      </c>
      <c r="F761" s="8">
        <v>8.3000000000000007</v>
      </c>
      <c r="G761" s="8">
        <v>58</v>
      </c>
      <c r="H761" s="7">
        <f t="shared" si="33"/>
        <v>67</v>
      </c>
      <c r="I761" s="7" t="str">
        <f t="shared" si="34"/>
        <v>PASS</v>
      </c>
      <c r="J761" s="7" t="str">
        <f t="shared" si="35"/>
        <v>Low Risk</v>
      </c>
      <c r="L761" s="7" t="str">
        <f>IF(J761="High Risk",COUNTIF($J$3:J761,"High Risk"),"")</f>
        <v/>
      </c>
      <c r="M761" s="7">
        <f>RANK(H761,$H$3:$H$1002,0)+COUNTIF($H$3:H761,H761)-1</f>
        <v>497</v>
      </c>
    </row>
    <row r="762" spans="1:13" x14ac:dyDescent="0.35">
      <c r="A762" s="7" t="s">
        <v>1447</v>
      </c>
      <c r="B762" s="7" t="s">
        <v>520</v>
      </c>
      <c r="C762" s="8" t="s">
        <v>62</v>
      </c>
      <c r="D762" s="8" t="s">
        <v>57</v>
      </c>
      <c r="E762" s="8">
        <v>71.5</v>
      </c>
      <c r="F762" s="8">
        <v>7.3</v>
      </c>
      <c r="G762" s="8">
        <v>75</v>
      </c>
      <c r="H762" s="7">
        <f t="shared" si="33"/>
        <v>73.400000000000006</v>
      </c>
      <c r="I762" s="7" t="str">
        <f t="shared" si="34"/>
        <v>PASS</v>
      </c>
      <c r="J762" s="7" t="str">
        <f t="shared" si="35"/>
        <v>Low Risk</v>
      </c>
      <c r="L762" s="7" t="str">
        <f>IF(J762="High Risk",COUNTIF($J$3:J762,"High Risk"),"")</f>
        <v/>
      </c>
      <c r="M762" s="7">
        <f>RANK(H762,$H$3:$H$1002,0)+COUNTIF($H$3:H762,H762)-1</f>
        <v>353</v>
      </c>
    </row>
    <row r="763" spans="1:13" x14ac:dyDescent="0.35">
      <c r="A763" s="7" t="s">
        <v>1448</v>
      </c>
      <c r="B763" s="7" t="s">
        <v>413</v>
      </c>
      <c r="C763" s="8" t="s">
        <v>56</v>
      </c>
      <c r="D763" s="8" t="s">
        <v>68</v>
      </c>
      <c r="E763" s="8">
        <v>43.6</v>
      </c>
      <c r="F763" s="8">
        <v>3.7</v>
      </c>
      <c r="G763" s="8">
        <v>32</v>
      </c>
      <c r="H763" s="7">
        <f t="shared" si="33"/>
        <v>37</v>
      </c>
      <c r="I763" s="7" t="str">
        <f t="shared" si="34"/>
        <v>FAIL</v>
      </c>
      <c r="J763" s="7" t="str">
        <f t="shared" si="35"/>
        <v>High Risk</v>
      </c>
      <c r="L763" s="7">
        <f>IF(J763="High Risk",COUNTIF($J$3:J763,"High Risk"),"")</f>
        <v>153</v>
      </c>
      <c r="M763" s="7">
        <f>RANK(H763,$H$3:$H$1002,0)+COUNTIF($H$3:H763,H763)-1</f>
        <v>931</v>
      </c>
    </row>
    <row r="764" spans="1:13" x14ac:dyDescent="0.35">
      <c r="A764" s="7" t="s">
        <v>1449</v>
      </c>
      <c r="B764" s="7" t="s">
        <v>1148</v>
      </c>
      <c r="C764" s="8" t="s">
        <v>62</v>
      </c>
      <c r="D764" s="8" t="s">
        <v>57</v>
      </c>
      <c r="E764" s="8">
        <v>59.3</v>
      </c>
      <c r="F764" s="8">
        <v>3.4</v>
      </c>
      <c r="G764" s="8">
        <v>56</v>
      </c>
      <c r="H764" s="7">
        <f t="shared" si="33"/>
        <v>50.4</v>
      </c>
      <c r="I764" s="7" t="str">
        <f t="shared" si="34"/>
        <v>PASS</v>
      </c>
      <c r="J764" s="7" t="str">
        <f t="shared" si="35"/>
        <v>Medium Risk</v>
      </c>
      <c r="L764" s="7" t="str">
        <f>IF(J764="High Risk",COUNTIF($J$3:J764,"High Risk"),"")</f>
        <v/>
      </c>
      <c r="M764" s="7">
        <f>RANK(H764,$H$3:$H$1002,0)+COUNTIF($H$3:H764,H764)-1</f>
        <v>798</v>
      </c>
    </row>
    <row r="765" spans="1:13" x14ac:dyDescent="0.35">
      <c r="A765" s="7" t="s">
        <v>1450</v>
      </c>
      <c r="B765" s="7" t="s">
        <v>1451</v>
      </c>
      <c r="C765" s="8" t="s">
        <v>62</v>
      </c>
      <c r="D765" s="8" t="s">
        <v>57</v>
      </c>
      <c r="E765" s="8">
        <v>74.7</v>
      </c>
      <c r="F765" s="8">
        <v>4.4000000000000004</v>
      </c>
      <c r="G765" s="8">
        <v>69</v>
      </c>
      <c r="H765" s="7">
        <f t="shared" si="33"/>
        <v>63.2</v>
      </c>
      <c r="I765" s="7" t="str">
        <f t="shared" si="34"/>
        <v>PASS</v>
      </c>
      <c r="J765" s="7" t="str">
        <f t="shared" si="35"/>
        <v>Medium Risk</v>
      </c>
      <c r="L765" s="7" t="str">
        <f>IF(J765="High Risk",COUNTIF($J$3:J765,"High Risk"),"")</f>
        <v/>
      </c>
      <c r="M765" s="7">
        <f>RANK(H765,$H$3:$H$1002,0)+COUNTIF($H$3:H765,H765)-1</f>
        <v>560</v>
      </c>
    </row>
    <row r="766" spans="1:13" x14ac:dyDescent="0.35">
      <c r="A766" s="7" t="s">
        <v>1452</v>
      </c>
      <c r="B766" s="7" t="s">
        <v>1230</v>
      </c>
      <c r="C766" s="8" t="s">
        <v>62</v>
      </c>
      <c r="D766" s="8" t="s">
        <v>68</v>
      </c>
      <c r="E766" s="8">
        <v>89.4</v>
      </c>
      <c r="F766" s="8">
        <v>5.3</v>
      </c>
      <c r="G766" s="8">
        <v>71</v>
      </c>
      <c r="H766" s="7">
        <f t="shared" si="33"/>
        <v>71.099999999999994</v>
      </c>
      <c r="I766" s="7" t="str">
        <f t="shared" si="34"/>
        <v>PASS</v>
      </c>
      <c r="J766" s="7" t="str">
        <f t="shared" si="35"/>
        <v>Low Risk</v>
      </c>
      <c r="L766" s="7" t="str">
        <f>IF(J766="High Risk",COUNTIF($J$3:J766,"High Risk"),"")</f>
        <v/>
      </c>
      <c r="M766" s="7">
        <f>RANK(H766,$H$3:$H$1002,0)+COUNTIF($H$3:H766,H766)-1</f>
        <v>405</v>
      </c>
    </row>
    <row r="767" spans="1:13" x14ac:dyDescent="0.35">
      <c r="A767" s="7" t="s">
        <v>1453</v>
      </c>
      <c r="B767" s="7" t="s">
        <v>1454</v>
      </c>
      <c r="C767" s="8" t="s">
        <v>62</v>
      </c>
      <c r="D767" s="8" t="s">
        <v>68</v>
      </c>
      <c r="E767" s="8">
        <v>57.4</v>
      </c>
      <c r="F767" s="8">
        <v>5.0999999999999996</v>
      </c>
      <c r="G767" s="8">
        <v>41</v>
      </c>
      <c r="H767" s="7">
        <f t="shared" si="33"/>
        <v>48.9</v>
      </c>
      <c r="I767" s="7" t="str">
        <f t="shared" si="34"/>
        <v>FAIL</v>
      </c>
      <c r="J767" s="7" t="str">
        <f t="shared" si="35"/>
        <v>High Risk</v>
      </c>
      <c r="L767" s="7">
        <f>IF(J767="High Risk",COUNTIF($J$3:J767,"High Risk"),"")</f>
        <v>154</v>
      </c>
      <c r="M767" s="7">
        <f>RANK(H767,$H$3:$H$1002,0)+COUNTIF($H$3:H767,H767)-1</f>
        <v>816</v>
      </c>
    </row>
    <row r="768" spans="1:13" x14ac:dyDescent="0.35">
      <c r="A768" s="7" t="s">
        <v>1455</v>
      </c>
      <c r="B768" s="7" t="s">
        <v>97</v>
      </c>
      <c r="C768" s="8" t="s">
        <v>56</v>
      </c>
      <c r="D768" s="8" t="s">
        <v>75</v>
      </c>
      <c r="E768" s="8">
        <v>69.7</v>
      </c>
      <c r="F768" s="8">
        <v>1.1000000000000001</v>
      </c>
      <c r="G768" s="8">
        <v>41</v>
      </c>
      <c r="H768" s="7">
        <f t="shared" si="33"/>
        <v>40.6</v>
      </c>
      <c r="I768" s="7" t="str">
        <f t="shared" si="34"/>
        <v>FAIL</v>
      </c>
      <c r="J768" s="7" t="str">
        <f t="shared" si="35"/>
        <v>High Risk</v>
      </c>
      <c r="L768" s="7">
        <f>IF(J768="High Risk",COUNTIF($J$3:J768,"High Risk"),"")</f>
        <v>155</v>
      </c>
      <c r="M768" s="7">
        <f>RANK(H768,$H$3:$H$1002,0)+COUNTIF($H$3:H768,H768)-1</f>
        <v>896</v>
      </c>
    </row>
    <row r="769" spans="1:13" x14ac:dyDescent="0.35">
      <c r="A769" s="7" t="s">
        <v>1456</v>
      </c>
      <c r="B769" s="7" t="s">
        <v>1457</v>
      </c>
      <c r="C769" s="8" t="s">
        <v>62</v>
      </c>
      <c r="D769" s="8" t="s">
        <v>57</v>
      </c>
      <c r="E769" s="8">
        <v>99.6</v>
      </c>
      <c r="F769" s="8">
        <v>6.6</v>
      </c>
      <c r="G769" s="8">
        <v>90</v>
      </c>
      <c r="H769" s="7">
        <f t="shared" si="33"/>
        <v>85.7</v>
      </c>
      <c r="I769" s="7" t="str">
        <f t="shared" si="34"/>
        <v>PASS</v>
      </c>
      <c r="J769" s="7" t="str">
        <f t="shared" si="35"/>
        <v>Low Risk</v>
      </c>
      <c r="L769" s="7" t="str">
        <f>IF(J769="High Risk",COUNTIF($J$3:J769,"High Risk"),"")</f>
        <v/>
      </c>
      <c r="M769" s="7">
        <f>RANK(H769,$H$3:$H$1002,0)+COUNTIF($H$3:H769,H769)-1</f>
        <v>160</v>
      </c>
    </row>
    <row r="770" spans="1:13" x14ac:dyDescent="0.35">
      <c r="A770" s="7" t="s">
        <v>1458</v>
      </c>
      <c r="B770" s="7" t="s">
        <v>1459</v>
      </c>
      <c r="C770" s="8" t="s">
        <v>56</v>
      </c>
      <c r="D770" s="8" t="s">
        <v>63</v>
      </c>
      <c r="E770" s="8">
        <v>86.4</v>
      </c>
      <c r="F770" s="8">
        <v>6.4</v>
      </c>
      <c r="G770" s="8">
        <v>66</v>
      </c>
      <c r="H770" s="7">
        <f t="shared" si="33"/>
        <v>71.5</v>
      </c>
      <c r="I770" s="7" t="str">
        <f t="shared" si="34"/>
        <v>PASS</v>
      </c>
      <c r="J770" s="7" t="str">
        <f t="shared" si="35"/>
        <v>Low Risk</v>
      </c>
      <c r="L770" s="7" t="str">
        <f>IF(J770="High Risk",COUNTIF($J$3:J770,"High Risk"),"")</f>
        <v/>
      </c>
      <c r="M770" s="7">
        <f>RANK(H770,$H$3:$H$1002,0)+COUNTIF($H$3:H770,H770)-1</f>
        <v>399</v>
      </c>
    </row>
    <row r="771" spans="1:13" x14ac:dyDescent="0.35">
      <c r="A771" s="7" t="s">
        <v>1460</v>
      </c>
      <c r="B771" s="7" t="s">
        <v>1461</v>
      </c>
      <c r="C771" s="8" t="s">
        <v>56</v>
      </c>
      <c r="D771" s="8" t="s">
        <v>68</v>
      </c>
      <c r="E771" s="8">
        <v>82.1</v>
      </c>
      <c r="F771" s="8">
        <v>8.6999999999999993</v>
      </c>
      <c r="G771" s="8">
        <v>76</v>
      </c>
      <c r="H771" s="7">
        <f t="shared" ref="H771:H834" si="36">ROUND(0.4*G771+0.3*E771+0.3*MIN(F771/10,1)*100,1)</f>
        <v>81.099999999999994</v>
      </c>
      <c r="I771" s="7" t="str">
        <f t="shared" ref="I771:I834" si="37">IF(H771&gt;=50,"PASS","FAIL")</f>
        <v>PASS</v>
      </c>
      <c r="J771" s="7" t="str">
        <f t="shared" ref="J771:J834" si="38">IF(H771&lt;50,"High Risk",IF(H771&lt;65,"Medium Risk","Low Risk"))</f>
        <v>Low Risk</v>
      </c>
      <c r="L771" s="7" t="str">
        <f>IF(J771="High Risk",COUNTIF($J$3:J771,"High Risk"),"")</f>
        <v/>
      </c>
      <c r="M771" s="7">
        <f>RANK(H771,$H$3:$H$1002,0)+COUNTIF($H$3:H771,H771)-1</f>
        <v>231</v>
      </c>
    </row>
    <row r="772" spans="1:13" x14ac:dyDescent="0.35">
      <c r="A772" s="7" t="s">
        <v>1462</v>
      </c>
      <c r="B772" s="7" t="s">
        <v>1463</v>
      </c>
      <c r="C772" s="8" t="s">
        <v>56</v>
      </c>
      <c r="D772" s="8" t="s">
        <v>57</v>
      </c>
      <c r="E772" s="8">
        <v>97.7</v>
      </c>
      <c r="F772" s="8">
        <v>11.7</v>
      </c>
      <c r="G772" s="8">
        <v>89</v>
      </c>
      <c r="H772" s="7">
        <f t="shared" si="36"/>
        <v>94.9</v>
      </c>
      <c r="I772" s="7" t="str">
        <f t="shared" si="37"/>
        <v>PASS</v>
      </c>
      <c r="J772" s="7" t="str">
        <f t="shared" si="38"/>
        <v>Low Risk</v>
      </c>
      <c r="L772" s="7" t="str">
        <f>IF(J772="High Risk",COUNTIF($J$3:J772,"High Risk"),"")</f>
        <v/>
      </c>
      <c r="M772" s="7">
        <f>RANK(H772,$H$3:$H$1002,0)+COUNTIF($H$3:H772,H772)-1</f>
        <v>57</v>
      </c>
    </row>
    <row r="773" spans="1:13" x14ac:dyDescent="0.35">
      <c r="A773" s="7" t="s">
        <v>1464</v>
      </c>
      <c r="B773" s="7" t="s">
        <v>757</v>
      </c>
      <c r="C773" s="8" t="s">
        <v>56</v>
      </c>
      <c r="D773" s="8" t="s">
        <v>57</v>
      </c>
      <c r="E773" s="8">
        <v>80.3</v>
      </c>
      <c r="F773" s="8">
        <v>5.6</v>
      </c>
      <c r="G773" s="8">
        <v>67</v>
      </c>
      <c r="H773" s="7">
        <f t="shared" si="36"/>
        <v>67.7</v>
      </c>
      <c r="I773" s="7" t="str">
        <f t="shared" si="37"/>
        <v>PASS</v>
      </c>
      <c r="J773" s="7" t="str">
        <f t="shared" si="38"/>
        <v>Low Risk</v>
      </c>
      <c r="L773" s="7" t="str">
        <f>IF(J773="High Risk",COUNTIF($J$3:J773,"High Risk"),"")</f>
        <v/>
      </c>
      <c r="M773" s="7">
        <f>RANK(H773,$H$3:$H$1002,0)+COUNTIF($H$3:H773,H773)-1</f>
        <v>481</v>
      </c>
    </row>
    <row r="774" spans="1:13" x14ac:dyDescent="0.35">
      <c r="A774" s="7" t="s">
        <v>1465</v>
      </c>
      <c r="B774" s="7" t="s">
        <v>1466</v>
      </c>
      <c r="C774" s="8" t="s">
        <v>56</v>
      </c>
      <c r="D774" s="8" t="s">
        <v>63</v>
      </c>
      <c r="E774" s="8">
        <v>83.6</v>
      </c>
      <c r="F774" s="8">
        <v>8.3000000000000007</v>
      </c>
      <c r="G774" s="8">
        <v>61</v>
      </c>
      <c r="H774" s="7">
        <f t="shared" si="36"/>
        <v>74.400000000000006</v>
      </c>
      <c r="I774" s="7" t="str">
        <f t="shared" si="37"/>
        <v>PASS</v>
      </c>
      <c r="J774" s="7" t="str">
        <f t="shared" si="38"/>
        <v>Low Risk</v>
      </c>
      <c r="L774" s="7" t="str">
        <f>IF(J774="High Risk",COUNTIF($J$3:J774,"High Risk"),"")</f>
        <v/>
      </c>
      <c r="M774" s="7">
        <f>RANK(H774,$H$3:$H$1002,0)+COUNTIF($H$3:H774,H774)-1</f>
        <v>333</v>
      </c>
    </row>
    <row r="775" spans="1:13" x14ac:dyDescent="0.35">
      <c r="A775" s="7" t="s">
        <v>1467</v>
      </c>
      <c r="B775" s="7" t="s">
        <v>1468</v>
      </c>
      <c r="C775" s="8" t="s">
        <v>62</v>
      </c>
      <c r="D775" s="8" t="s">
        <v>63</v>
      </c>
      <c r="E775" s="8">
        <v>50.3</v>
      </c>
      <c r="F775" s="8">
        <v>3.7</v>
      </c>
      <c r="G775" s="8">
        <v>64</v>
      </c>
      <c r="H775" s="7">
        <f t="shared" si="36"/>
        <v>51.8</v>
      </c>
      <c r="I775" s="7" t="str">
        <f t="shared" si="37"/>
        <v>PASS</v>
      </c>
      <c r="J775" s="7" t="str">
        <f t="shared" si="38"/>
        <v>Medium Risk</v>
      </c>
      <c r="L775" s="7" t="str">
        <f>IF(J775="High Risk",COUNTIF($J$3:J775,"High Risk"),"")</f>
        <v/>
      </c>
      <c r="M775" s="7">
        <f>RANK(H775,$H$3:$H$1002,0)+COUNTIF($H$3:H775,H775)-1</f>
        <v>773</v>
      </c>
    </row>
    <row r="776" spans="1:13" x14ac:dyDescent="0.35">
      <c r="A776" s="7" t="s">
        <v>1469</v>
      </c>
      <c r="B776" s="7" t="s">
        <v>1470</v>
      </c>
      <c r="C776" s="8" t="s">
        <v>62</v>
      </c>
      <c r="D776" s="8" t="s">
        <v>75</v>
      </c>
      <c r="E776" s="8">
        <v>74.8</v>
      </c>
      <c r="F776" s="8">
        <v>6.9</v>
      </c>
      <c r="G776" s="8">
        <v>61</v>
      </c>
      <c r="H776" s="7">
        <f t="shared" si="36"/>
        <v>67.5</v>
      </c>
      <c r="I776" s="7" t="str">
        <f t="shared" si="37"/>
        <v>PASS</v>
      </c>
      <c r="J776" s="7" t="str">
        <f t="shared" si="38"/>
        <v>Low Risk</v>
      </c>
      <c r="L776" s="7" t="str">
        <f>IF(J776="High Risk",COUNTIF($J$3:J776,"High Risk"),"")</f>
        <v/>
      </c>
      <c r="M776" s="7">
        <f>RANK(H776,$H$3:$H$1002,0)+COUNTIF($H$3:H776,H776)-1</f>
        <v>487</v>
      </c>
    </row>
    <row r="777" spans="1:13" x14ac:dyDescent="0.35">
      <c r="A777" s="7" t="s">
        <v>1471</v>
      </c>
      <c r="B777" s="7" t="s">
        <v>876</v>
      </c>
      <c r="C777" s="8" t="s">
        <v>62</v>
      </c>
      <c r="D777" s="8" t="s">
        <v>68</v>
      </c>
      <c r="E777" s="8">
        <v>87.2</v>
      </c>
      <c r="F777" s="8">
        <v>6.2</v>
      </c>
      <c r="G777" s="8">
        <v>67</v>
      </c>
      <c r="H777" s="7">
        <f t="shared" si="36"/>
        <v>71.599999999999994</v>
      </c>
      <c r="I777" s="7" t="str">
        <f t="shared" si="37"/>
        <v>PASS</v>
      </c>
      <c r="J777" s="7" t="str">
        <f t="shared" si="38"/>
        <v>Low Risk</v>
      </c>
      <c r="L777" s="7" t="str">
        <f>IF(J777="High Risk",COUNTIF($J$3:J777,"High Risk"),"")</f>
        <v/>
      </c>
      <c r="M777" s="7">
        <f>RANK(H777,$H$3:$H$1002,0)+COUNTIF($H$3:H777,H777)-1</f>
        <v>396</v>
      </c>
    </row>
    <row r="778" spans="1:13" x14ac:dyDescent="0.35">
      <c r="A778" s="7" t="s">
        <v>1472</v>
      </c>
      <c r="B778" s="7" t="s">
        <v>1473</v>
      </c>
      <c r="C778" s="8" t="s">
        <v>62</v>
      </c>
      <c r="D778" s="8" t="s">
        <v>63</v>
      </c>
      <c r="E778" s="8">
        <v>88.7</v>
      </c>
      <c r="F778" s="8">
        <v>9.9</v>
      </c>
      <c r="G778" s="8">
        <v>87</v>
      </c>
      <c r="H778" s="7">
        <f t="shared" si="36"/>
        <v>91.1</v>
      </c>
      <c r="I778" s="7" t="str">
        <f t="shared" si="37"/>
        <v>PASS</v>
      </c>
      <c r="J778" s="7" t="str">
        <f t="shared" si="38"/>
        <v>Low Risk</v>
      </c>
      <c r="L778" s="7" t="str">
        <f>IF(J778="High Risk",COUNTIF($J$3:J778,"High Risk"),"")</f>
        <v/>
      </c>
      <c r="M778" s="7">
        <f>RANK(H778,$H$3:$H$1002,0)+COUNTIF($H$3:H778,H778)-1</f>
        <v>94</v>
      </c>
    </row>
    <row r="779" spans="1:13" x14ac:dyDescent="0.35">
      <c r="A779" s="7" t="s">
        <v>1474</v>
      </c>
      <c r="B779" s="7" t="s">
        <v>1475</v>
      </c>
      <c r="C779" s="8" t="s">
        <v>62</v>
      </c>
      <c r="D779" s="8" t="s">
        <v>57</v>
      </c>
      <c r="E779" s="8">
        <v>53.4</v>
      </c>
      <c r="F779" s="8">
        <v>2.9</v>
      </c>
      <c r="G779" s="8">
        <v>43</v>
      </c>
      <c r="H779" s="7">
        <f t="shared" si="36"/>
        <v>41.9</v>
      </c>
      <c r="I779" s="7" t="str">
        <f t="shared" si="37"/>
        <v>FAIL</v>
      </c>
      <c r="J779" s="7" t="str">
        <f t="shared" si="38"/>
        <v>High Risk</v>
      </c>
      <c r="L779" s="7">
        <f>IF(J779="High Risk",COUNTIF($J$3:J779,"High Risk"),"")</f>
        <v>156</v>
      </c>
      <c r="M779" s="7">
        <f>RANK(H779,$H$3:$H$1002,0)+COUNTIF($H$3:H779,H779)-1</f>
        <v>885</v>
      </c>
    </row>
    <row r="780" spans="1:13" x14ac:dyDescent="0.35">
      <c r="A780" s="7" t="s">
        <v>1476</v>
      </c>
      <c r="B780" s="7" t="s">
        <v>65</v>
      </c>
      <c r="C780" s="8" t="s">
        <v>62</v>
      </c>
      <c r="D780" s="8" t="s">
        <v>63</v>
      </c>
      <c r="E780" s="8">
        <v>85.3</v>
      </c>
      <c r="F780" s="8">
        <v>4.5</v>
      </c>
      <c r="G780" s="8">
        <v>80</v>
      </c>
      <c r="H780" s="7">
        <f t="shared" si="36"/>
        <v>71.099999999999994</v>
      </c>
      <c r="I780" s="7" t="str">
        <f t="shared" si="37"/>
        <v>PASS</v>
      </c>
      <c r="J780" s="7" t="str">
        <f t="shared" si="38"/>
        <v>Low Risk</v>
      </c>
      <c r="L780" s="7" t="str">
        <f>IF(J780="High Risk",COUNTIF($J$3:J780,"High Risk"),"")</f>
        <v/>
      </c>
      <c r="M780" s="7">
        <f>RANK(H780,$H$3:$H$1002,0)+COUNTIF($H$3:H780,H780)-1</f>
        <v>406</v>
      </c>
    </row>
    <row r="781" spans="1:13" x14ac:dyDescent="0.35">
      <c r="A781" s="7" t="s">
        <v>1477</v>
      </c>
      <c r="B781" s="7" t="s">
        <v>1478</v>
      </c>
      <c r="C781" s="8" t="s">
        <v>62</v>
      </c>
      <c r="D781" s="8" t="s">
        <v>75</v>
      </c>
      <c r="E781" s="8">
        <v>56.7</v>
      </c>
      <c r="F781" s="8">
        <v>6.5</v>
      </c>
      <c r="G781" s="8">
        <v>63</v>
      </c>
      <c r="H781" s="7">
        <f t="shared" si="36"/>
        <v>61.7</v>
      </c>
      <c r="I781" s="7" t="str">
        <f t="shared" si="37"/>
        <v>PASS</v>
      </c>
      <c r="J781" s="7" t="str">
        <f t="shared" si="38"/>
        <v>Medium Risk</v>
      </c>
      <c r="L781" s="7" t="str">
        <f>IF(J781="High Risk",COUNTIF($J$3:J781,"High Risk"),"")</f>
        <v/>
      </c>
      <c r="M781" s="7">
        <f>RANK(H781,$H$3:$H$1002,0)+COUNTIF($H$3:H781,H781)-1</f>
        <v>591</v>
      </c>
    </row>
    <row r="782" spans="1:13" x14ac:dyDescent="0.35">
      <c r="A782" s="7" t="s">
        <v>1479</v>
      </c>
      <c r="B782" s="7" t="s">
        <v>1480</v>
      </c>
      <c r="C782" s="8" t="s">
        <v>62</v>
      </c>
      <c r="D782" s="8" t="s">
        <v>63</v>
      </c>
      <c r="E782" s="8">
        <v>95.3</v>
      </c>
      <c r="F782" s="8">
        <v>9.9</v>
      </c>
      <c r="G782" s="8">
        <v>78</v>
      </c>
      <c r="H782" s="7">
        <f t="shared" si="36"/>
        <v>89.5</v>
      </c>
      <c r="I782" s="7" t="str">
        <f t="shared" si="37"/>
        <v>PASS</v>
      </c>
      <c r="J782" s="7" t="str">
        <f t="shared" si="38"/>
        <v>Low Risk</v>
      </c>
      <c r="L782" s="7" t="str">
        <f>IF(J782="High Risk",COUNTIF($J$3:J782,"High Risk"),"")</f>
        <v/>
      </c>
      <c r="M782" s="7">
        <f>RANK(H782,$H$3:$H$1002,0)+COUNTIF($H$3:H782,H782)-1</f>
        <v>112</v>
      </c>
    </row>
    <row r="783" spans="1:13" x14ac:dyDescent="0.35">
      <c r="A783" s="7" t="s">
        <v>1481</v>
      </c>
      <c r="B783" s="7" t="s">
        <v>1482</v>
      </c>
      <c r="C783" s="8" t="s">
        <v>62</v>
      </c>
      <c r="D783" s="8" t="s">
        <v>63</v>
      </c>
      <c r="E783" s="8">
        <v>80.400000000000006</v>
      </c>
      <c r="F783" s="8">
        <v>2.6</v>
      </c>
      <c r="G783" s="8">
        <v>67</v>
      </c>
      <c r="H783" s="7">
        <f t="shared" si="36"/>
        <v>58.7</v>
      </c>
      <c r="I783" s="7" t="str">
        <f t="shared" si="37"/>
        <v>PASS</v>
      </c>
      <c r="J783" s="7" t="str">
        <f t="shared" si="38"/>
        <v>Medium Risk</v>
      </c>
      <c r="L783" s="7" t="str">
        <f>IF(J783="High Risk",COUNTIF($J$3:J783,"High Risk"),"")</f>
        <v/>
      </c>
      <c r="M783" s="7">
        <f>RANK(H783,$H$3:$H$1002,0)+COUNTIF($H$3:H783,H783)-1</f>
        <v>650</v>
      </c>
    </row>
    <row r="784" spans="1:13" x14ac:dyDescent="0.35">
      <c r="A784" s="7" t="s">
        <v>1483</v>
      </c>
      <c r="B784" s="7" t="s">
        <v>200</v>
      </c>
      <c r="C784" s="8" t="s">
        <v>56</v>
      </c>
      <c r="D784" s="8" t="s">
        <v>63</v>
      </c>
      <c r="E784" s="8">
        <v>77.7</v>
      </c>
      <c r="F784" s="8">
        <v>1.1000000000000001</v>
      </c>
      <c r="G784" s="8">
        <v>56</v>
      </c>
      <c r="H784" s="7">
        <f t="shared" si="36"/>
        <v>49</v>
      </c>
      <c r="I784" s="7" t="str">
        <f t="shared" si="37"/>
        <v>FAIL</v>
      </c>
      <c r="J784" s="7" t="str">
        <f t="shared" si="38"/>
        <v>High Risk</v>
      </c>
      <c r="L784" s="7">
        <f>IF(J784="High Risk",COUNTIF($J$3:J784,"High Risk"),"")</f>
        <v>157</v>
      </c>
      <c r="M784" s="7">
        <f>RANK(H784,$H$3:$H$1002,0)+COUNTIF($H$3:H784,H784)-1</f>
        <v>815</v>
      </c>
    </row>
    <row r="785" spans="1:13" x14ac:dyDescent="0.35">
      <c r="A785" s="7" t="s">
        <v>1484</v>
      </c>
      <c r="B785" s="7" t="s">
        <v>1485</v>
      </c>
      <c r="C785" s="8" t="s">
        <v>56</v>
      </c>
      <c r="D785" s="8" t="s">
        <v>75</v>
      </c>
      <c r="E785" s="8">
        <v>100</v>
      </c>
      <c r="F785" s="8">
        <v>5.3</v>
      </c>
      <c r="G785" s="8">
        <v>84</v>
      </c>
      <c r="H785" s="7">
        <f t="shared" si="36"/>
        <v>79.5</v>
      </c>
      <c r="I785" s="7" t="str">
        <f t="shared" si="37"/>
        <v>PASS</v>
      </c>
      <c r="J785" s="7" t="str">
        <f t="shared" si="38"/>
        <v>Low Risk</v>
      </c>
      <c r="L785" s="7" t="str">
        <f>IF(J785="High Risk",COUNTIF($J$3:J785,"High Risk"),"")</f>
        <v/>
      </c>
      <c r="M785" s="7">
        <f>RANK(H785,$H$3:$H$1002,0)+COUNTIF($H$3:H785,H785)-1</f>
        <v>255</v>
      </c>
    </row>
    <row r="786" spans="1:13" x14ac:dyDescent="0.35">
      <c r="A786" s="7" t="s">
        <v>1486</v>
      </c>
      <c r="B786" s="7" t="s">
        <v>1487</v>
      </c>
      <c r="C786" s="8" t="s">
        <v>62</v>
      </c>
      <c r="D786" s="8" t="s">
        <v>57</v>
      </c>
      <c r="E786" s="8">
        <v>95.3</v>
      </c>
      <c r="F786" s="8">
        <v>5.7</v>
      </c>
      <c r="G786" s="8">
        <v>69</v>
      </c>
      <c r="H786" s="7">
        <f t="shared" si="36"/>
        <v>73.3</v>
      </c>
      <c r="I786" s="7" t="str">
        <f t="shared" si="37"/>
        <v>PASS</v>
      </c>
      <c r="J786" s="7" t="str">
        <f t="shared" si="38"/>
        <v>Low Risk</v>
      </c>
      <c r="L786" s="7" t="str">
        <f>IF(J786="High Risk",COUNTIF($J$3:J786,"High Risk"),"")</f>
        <v/>
      </c>
      <c r="M786" s="7">
        <f>RANK(H786,$H$3:$H$1002,0)+COUNTIF($H$3:H786,H786)-1</f>
        <v>356</v>
      </c>
    </row>
    <row r="787" spans="1:13" x14ac:dyDescent="0.35">
      <c r="A787" s="7" t="s">
        <v>1488</v>
      </c>
      <c r="B787" s="7" t="s">
        <v>1489</v>
      </c>
      <c r="C787" s="8" t="s">
        <v>56</v>
      </c>
      <c r="D787" s="8" t="s">
        <v>63</v>
      </c>
      <c r="E787" s="8">
        <v>36.200000000000003</v>
      </c>
      <c r="F787" s="8">
        <v>1.3</v>
      </c>
      <c r="G787" s="8">
        <v>20</v>
      </c>
      <c r="H787" s="7">
        <f t="shared" si="36"/>
        <v>22.8</v>
      </c>
      <c r="I787" s="7" t="str">
        <f t="shared" si="37"/>
        <v>FAIL</v>
      </c>
      <c r="J787" s="7" t="str">
        <f t="shared" si="38"/>
        <v>High Risk</v>
      </c>
      <c r="L787" s="7">
        <f>IF(J787="High Risk",COUNTIF($J$3:J787,"High Risk"),"")</f>
        <v>158</v>
      </c>
      <c r="M787" s="7">
        <f>RANK(H787,$H$3:$H$1002,0)+COUNTIF($H$3:H787,H787)-1</f>
        <v>991</v>
      </c>
    </row>
    <row r="788" spans="1:13" x14ac:dyDescent="0.35">
      <c r="A788" s="7" t="s">
        <v>1490</v>
      </c>
      <c r="B788" s="7" t="s">
        <v>304</v>
      </c>
      <c r="C788" s="8" t="s">
        <v>56</v>
      </c>
      <c r="D788" s="8" t="s">
        <v>57</v>
      </c>
      <c r="E788" s="8">
        <v>73.7</v>
      </c>
      <c r="F788" s="8">
        <v>8.6</v>
      </c>
      <c r="G788" s="8">
        <v>75</v>
      </c>
      <c r="H788" s="7">
        <f t="shared" si="36"/>
        <v>77.900000000000006</v>
      </c>
      <c r="I788" s="7" t="str">
        <f t="shared" si="37"/>
        <v>PASS</v>
      </c>
      <c r="J788" s="7" t="str">
        <f t="shared" si="38"/>
        <v>Low Risk</v>
      </c>
      <c r="L788" s="7" t="str">
        <f>IF(J788="High Risk",COUNTIF($J$3:J788,"High Risk"),"")</f>
        <v/>
      </c>
      <c r="M788" s="7">
        <f>RANK(H788,$H$3:$H$1002,0)+COUNTIF($H$3:H788,H788)-1</f>
        <v>279</v>
      </c>
    </row>
    <row r="789" spans="1:13" x14ac:dyDescent="0.35">
      <c r="A789" s="7" t="s">
        <v>1491</v>
      </c>
      <c r="B789" s="7" t="s">
        <v>1492</v>
      </c>
      <c r="C789" s="8" t="s">
        <v>62</v>
      </c>
      <c r="D789" s="8" t="s">
        <v>68</v>
      </c>
      <c r="E789" s="8">
        <v>95.2</v>
      </c>
      <c r="F789" s="8">
        <v>8.4</v>
      </c>
      <c r="G789" s="8">
        <v>76</v>
      </c>
      <c r="H789" s="7">
        <f t="shared" si="36"/>
        <v>84.2</v>
      </c>
      <c r="I789" s="7" t="str">
        <f t="shared" si="37"/>
        <v>PASS</v>
      </c>
      <c r="J789" s="7" t="str">
        <f t="shared" si="38"/>
        <v>Low Risk</v>
      </c>
      <c r="L789" s="7" t="str">
        <f>IF(J789="High Risk",COUNTIF($J$3:J789,"High Risk"),"")</f>
        <v/>
      </c>
      <c r="M789" s="7">
        <f>RANK(H789,$H$3:$H$1002,0)+COUNTIF($H$3:H789,H789)-1</f>
        <v>180</v>
      </c>
    </row>
    <row r="790" spans="1:13" x14ac:dyDescent="0.35">
      <c r="A790" s="7" t="s">
        <v>1493</v>
      </c>
      <c r="B790" s="7" t="s">
        <v>1494</v>
      </c>
      <c r="C790" s="8" t="s">
        <v>56</v>
      </c>
      <c r="D790" s="8" t="s">
        <v>57</v>
      </c>
      <c r="E790" s="8">
        <v>86.3</v>
      </c>
      <c r="F790" s="8">
        <v>9</v>
      </c>
      <c r="G790" s="8">
        <v>92</v>
      </c>
      <c r="H790" s="7">
        <f t="shared" si="36"/>
        <v>89.7</v>
      </c>
      <c r="I790" s="7" t="str">
        <f t="shared" si="37"/>
        <v>PASS</v>
      </c>
      <c r="J790" s="7" t="str">
        <f t="shared" si="38"/>
        <v>Low Risk</v>
      </c>
      <c r="L790" s="7" t="str">
        <f>IF(J790="High Risk",COUNTIF($J$3:J790,"High Risk"),"")</f>
        <v/>
      </c>
      <c r="M790" s="7">
        <f>RANK(H790,$H$3:$H$1002,0)+COUNTIF($H$3:H790,H790)-1</f>
        <v>110</v>
      </c>
    </row>
    <row r="791" spans="1:13" x14ac:dyDescent="0.35">
      <c r="A791" s="7" t="s">
        <v>1495</v>
      </c>
      <c r="B791" s="7" t="s">
        <v>1496</v>
      </c>
      <c r="C791" s="8" t="s">
        <v>56</v>
      </c>
      <c r="D791" s="8" t="s">
        <v>57</v>
      </c>
      <c r="E791" s="8">
        <v>78.900000000000006</v>
      </c>
      <c r="F791" s="8">
        <v>3.4</v>
      </c>
      <c r="G791" s="8">
        <v>57</v>
      </c>
      <c r="H791" s="7">
        <f t="shared" si="36"/>
        <v>56.7</v>
      </c>
      <c r="I791" s="7" t="str">
        <f t="shared" si="37"/>
        <v>PASS</v>
      </c>
      <c r="J791" s="7" t="str">
        <f t="shared" si="38"/>
        <v>Medium Risk</v>
      </c>
      <c r="L791" s="7" t="str">
        <f>IF(J791="High Risk",COUNTIF($J$3:J791,"High Risk"),"")</f>
        <v/>
      </c>
      <c r="M791" s="7">
        <f>RANK(H791,$H$3:$H$1002,0)+COUNTIF($H$3:H791,H791)-1</f>
        <v>693</v>
      </c>
    </row>
    <row r="792" spans="1:13" x14ac:dyDescent="0.35">
      <c r="A792" s="7" t="s">
        <v>1497</v>
      </c>
      <c r="B792" s="7" t="s">
        <v>1498</v>
      </c>
      <c r="C792" s="8" t="s">
        <v>56</v>
      </c>
      <c r="D792" s="8" t="s">
        <v>57</v>
      </c>
      <c r="E792" s="8">
        <v>48.4</v>
      </c>
      <c r="F792" s="8">
        <v>2.1</v>
      </c>
      <c r="G792" s="8">
        <v>51</v>
      </c>
      <c r="H792" s="7">
        <f t="shared" si="36"/>
        <v>41.2</v>
      </c>
      <c r="I792" s="7" t="str">
        <f t="shared" si="37"/>
        <v>FAIL</v>
      </c>
      <c r="J792" s="7" t="str">
        <f t="shared" si="38"/>
        <v>High Risk</v>
      </c>
      <c r="L792" s="7">
        <f>IF(J792="High Risk",COUNTIF($J$3:J792,"High Risk"),"")</f>
        <v>159</v>
      </c>
      <c r="M792" s="7">
        <f>RANK(H792,$H$3:$H$1002,0)+COUNTIF($H$3:H792,H792)-1</f>
        <v>890</v>
      </c>
    </row>
    <row r="793" spans="1:13" x14ac:dyDescent="0.35">
      <c r="A793" s="7" t="s">
        <v>1499</v>
      </c>
      <c r="B793" s="7" t="s">
        <v>761</v>
      </c>
      <c r="C793" s="8" t="s">
        <v>62</v>
      </c>
      <c r="D793" s="8" t="s">
        <v>68</v>
      </c>
      <c r="E793" s="8">
        <v>65.8</v>
      </c>
      <c r="F793" s="8">
        <v>7.8</v>
      </c>
      <c r="G793" s="8">
        <v>71</v>
      </c>
      <c r="H793" s="7">
        <f t="shared" si="36"/>
        <v>71.5</v>
      </c>
      <c r="I793" s="7" t="str">
        <f t="shared" si="37"/>
        <v>PASS</v>
      </c>
      <c r="J793" s="7" t="str">
        <f t="shared" si="38"/>
        <v>Low Risk</v>
      </c>
      <c r="L793" s="7" t="str">
        <f>IF(J793="High Risk",COUNTIF($J$3:J793,"High Risk"),"")</f>
        <v/>
      </c>
      <c r="M793" s="7">
        <f>RANK(H793,$H$3:$H$1002,0)+COUNTIF($H$3:H793,H793)-1</f>
        <v>400</v>
      </c>
    </row>
    <row r="794" spans="1:13" x14ac:dyDescent="0.35">
      <c r="A794" s="7" t="s">
        <v>1500</v>
      </c>
      <c r="B794" s="7" t="s">
        <v>1501</v>
      </c>
      <c r="C794" s="8" t="s">
        <v>56</v>
      </c>
      <c r="D794" s="8" t="s">
        <v>68</v>
      </c>
      <c r="E794" s="8">
        <v>78.400000000000006</v>
      </c>
      <c r="F794" s="8">
        <v>6.5</v>
      </c>
      <c r="G794" s="8">
        <v>68</v>
      </c>
      <c r="H794" s="7">
        <f t="shared" si="36"/>
        <v>70.2</v>
      </c>
      <c r="I794" s="7" t="str">
        <f t="shared" si="37"/>
        <v>PASS</v>
      </c>
      <c r="J794" s="7" t="str">
        <f t="shared" si="38"/>
        <v>Low Risk</v>
      </c>
      <c r="L794" s="7" t="str">
        <f>IF(J794="High Risk",COUNTIF($J$3:J794,"High Risk"),"")</f>
        <v/>
      </c>
      <c r="M794" s="7">
        <f>RANK(H794,$H$3:$H$1002,0)+COUNTIF($H$3:H794,H794)-1</f>
        <v>429</v>
      </c>
    </row>
    <row r="795" spans="1:13" x14ac:dyDescent="0.35">
      <c r="A795" s="7" t="s">
        <v>1502</v>
      </c>
      <c r="B795" s="7" t="s">
        <v>1384</v>
      </c>
      <c r="C795" s="8" t="s">
        <v>62</v>
      </c>
      <c r="D795" s="8" t="s">
        <v>75</v>
      </c>
      <c r="E795" s="8">
        <v>59.1</v>
      </c>
      <c r="F795" s="8">
        <v>1.1000000000000001</v>
      </c>
      <c r="G795" s="8">
        <v>65</v>
      </c>
      <c r="H795" s="7">
        <f t="shared" si="36"/>
        <v>47</v>
      </c>
      <c r="I795" s="7" t="str">
        <f t="shared" si="37"/>
        <v>FAIL</v>
      </c>
      <c r="J795" s="7" t="str">
        <f t="shared" si="38"/>
        <v>High Risk</v>
      </c>
      <c r="L795" s="7">
        <f>IF(J795="High Risk",COUNTIF($J$3:J795,"High Risk"),"")</f>
        <v>160</v>
      </c>
      <c r="M795" s="7">
        <f>RANK(H795,$H$3:$H$1002,0)+COUNTIF($H$3:H795,H795)-1</f>
        <v>837</v>
      </c>
    </row>
    <row r="796" spans="1:13" x14ac:dyDescent="0.35">
      <c r="A796" s="7" t="s">
        <v>1503</v>
      </c>
      <c r="B796" s="7" t="s">
        <v>1504</v>
      </c>
      <c r="C796" s="8" t="s">
        <v>56</v>
      </c>
      <c r="D796" s="8" t="s">
        <v>68</v>
      </c>
      <c r="E796" s="8">
        <v>59.4</v>
      </c>
      <c r="F796" s="8">
        <v>6.4</v>
      </c>
      <c r="G796" s="8">
        <v>67</v>
      </c>
      <c r="H796" s="7">
        <f t="shared" si="36"/>
        <v>63.8</v>
      </c>
      <c r="I796" s="7" t="str">
        <f t="shared" si="37"/>
        <v>PASS</v>
      </c>
      <c r="J796" s="7" t="str">
        <f t="shared" si="38"/>
        <v>Medium Risk</v>
      </c>
      <c r="L796" s="7" t="str">
        <f>IF(J796="High Risk",COUNTIF($J$3:J796,"High Risk"),"")</f>
        <v/>
      </c>
      <c r="M796" s="7">
        <f>RANK(H796,$H$3:$H$1002,0)+COUNTIF($H$3:H796,H796)-1</f>
        <v>553</v>
      </c>
    </row>
    <row r="797" spans="1:13" x14ac:dyDescent="0.35">
      <c r="A797" s="7" t="s">
        <v>1505</v>
      </c>
      <c r="B797" s="7" t="s">
        <v>1506</v>
      </c>
      <c r="C797" s="8" t="s">
        <v>56</v>
      </c>
      <c r="D797" s="8" t="s">
        <v>57</v>
      </c>
      <c r="E797" s="8">
        <v>99.6</v>
      </c>
      <c r="F797" s="8">
        <v>10.5</v>
      </c>
      <c r="G797" s="8">
        <v>79</v>
      </c>
      <c r="H797" s="7">
        <f t="shared" si="36"/>
        <v>91.5</v>
      </c>
      <c r="I797" s="7" t="str">
        <f t="shared" si="37"/>
        <v>PASS</v>
      </c>
      <c r="J797" s="7" t="str">
        <f t="shared" si="38"/>
        <v>Low Risk</v>
      </c>
      <c r="L797" s="7" t="str">
        <f>IF(J797="High Risk",COUNTIF($J$3:J797,"High Risk"),"")</f>
        <v/>
      </c>
      <c r="M797" s="7">
        <f>RANK(H797,$H$3:$H$1002,0)+COUNTIF($H$3:H797,H797)-1</f>
        <v>89</v>
      </c>
    </row>
    <row r="798" spans="1:13" x14ac:dyDescent="0.35">
      <c r="A798" s="7" t="s">
        <v>1507</v>
      </c>
      <c r="B798" s="7" t="s">
        <v>241</v>
      </c>
      <c r="C798" s="8" t="s">
        <v>62</v>
      </c>
      <c r="D798" s="8" t="s">
        <v>57</v>
      </c>
      <c r="E798" s="8">
        <v>55.9</v>
      </c>
      <c r="F798" s="8">
        <v>0.4</v>
      </c>
      <c r="G798" s="8">
        <v>62</v>
      </c>
      <c r="H798" s="7">
        <f t="shared" si="36"/>
        <v>42.8</v>
      </c>
      <c r="I798" s="7" t="str">
        <f t="shared" si="37"/>
        <v>FAIL</v>
      </c>
      <c r="J798" s="7" t="str">
        <f t="shared" si="38"/>
        <v>High Risk</v>
      </c>
      <c r="L798" s="7">
        <f>IF(J798="High Risk",COUNTIF($J$3:J798,"High Risk"),"")</f>
        <v>161</v>
      </c>
      <c r="M798" s="7">
        <f>RANK(H798,$H$3:$H$1002,0)+COUNTIF($H$3:H798,H798)-1</f>
        <v>876</v>
      </c>
    </row>
    <row r="799" spans="1:13" x14ac:dyDescent="0.35">
      <c r="A799" s="7" t="s">
        <v>1508</v>
      </c>
      <c r="B799" s="7" t="s">
        <v>1146</v>
      </c>
      <c r="C799" s="8" t="s">
        <v>56</v>
      </c>
      <c r="D799" s="8" t="s">
        <v>63</v>
      </c>
      <c r="E799" s="8">
        <v>67.900000000000006</v>
      </c>
      <c r="F799" s="8">
        <v>5.9</v>
      </c>
      <c r="G799" s="8">
        <v>55</v>
      </c>
      <c r="H799" s="7">
        <f t="shared" si="36"/>
        <v>60.1</v>
      </c>
      <c r="I799" s="7" t="str">
        <f t="shared" si="37"/>
        <v>PASS</v>
      </c>
      <c r="J799" s="7" t="str">
        <f t="shared" si="38"/>
        <v>Medium Risk</v>
      </c>
      <c r="L799" s="7" t="str">
        <f>IF(J799="High Risk",COUNTIF($J$3:J799,"High Risk"),"")</f>
        <v/>
      </c>
      <c r="M799" s="7">
        <f>RANK(H799,$H$3:$H$1002,0)+COUNTIF($H$3:H799,H799)-1</f>
        <v>620</v>
      </c>
    </row>
    <row r="800" spans="1:13" x14ac:dyDescent="0.35">
      <c r="A800" s="7" t="s">
        <v>1509</v>
      </c>
      <c r="B800" s="7" t="s">
        <v>1066</v>
      </c>
      <c r="C800" s="8" t="s">
        <v>62</v>
      </c>
      <c r="D800" s="8" t="s">
        <v>57</v>
      </c>
      <c r="E800" s="8">
        <v>95.3</v>
      </c>
      <c r="F800" s="8">
        <v>9.6999999999999993</v>
      </c>
      <c r="G800" s="8">
        <v>82</v>
      </c>
      <c r="H800" s="7">
        <f t="shared" si="36"/>
        <v>90.5</v>
      </c>
      <c r="I800" s="7" t="str">
        <f t="shared" si="37"/>
        <v>PASS</v>
      </c>
      <c r="J800" s="7" t="str">
        <f t="shared" si="38"/>
        <v>Low Risk</v>
      </c>
      <c r="L800" s="7" t="str">
        <f>IF(J800="High Risk",COUNTIF($J$3:J800,"High Risk"),"")</f>
        <v/>
      </c>
      <c r="M800" s="7">
        <f>RANK(H800,$H$3:$H$1002,0)+COUNTIF($H$3:H800,H800)-1</f>
        <v>100</v>
      </c>
    </row>
    <row r="801" spans="1:13" x14ac:dyDescent="0.35">
      <c r="A801" s="7" t="s">
        <v>1510</v>
      </c>
      <c r="B801" s="7" t="s">
        <v>1511</v>
      </c>
      <c r="C801" s="8" t="s">
        <v>56</v>
      </c>
      <c r="D801" s="8" t="s">
        <v>63</v>
      </c>
      <c r="E801" s="8">
        <v>78.8</v>
      </c>
      <c r="F801" s="8">
        <v>7</v>
      </c>
      <c r="G801" s="8">
        <v>69</v>
      </c>
      <c r="H801" s="7">
        <f t="shared" si="36"/>
        <v>72.2</v>
      </c>
      <c r="I801" s="7" t="str">
        <f t="shared" si="37"/>
        <v>PASS</v>
      </c>
      <c r="J801" s="7" t="str">
        <f t="shared" si="38"/>
        <v>Low Risk</v>
      </c>
      <c r="L801" s="7" t="str">
        <f>IF(J801="High Risk",COUNTIF($J$3:J801,"High Risk"),"")</f>
        <v/>
      </c>
      <c r="M801" s="7">
        <f>RANK(H801,$H$3:$H$1002,0)+COUNTIF($H$3:H801,H801)-1</f>
        <v>378</v>
      </c>
    </row>
    <row r="802" spans="1:13" x14ac:dyDescent="0.35">
      <c r="A802" s="7" t="s">
        <v>1512</v>
      </c>
      <c r="B802" s="7" t="s">
        <v>1513</v>
      </c>
      <c r="C802" s="8" t="s">
        <v>62</v>
      </c>
      <c r="D802" s="8" t="s">
        <v>57</v>
      </c>
      <c r="E802" s="8">
        <v>78.2</v>
      </c>
      <c r="F802" s="8">
        <v>5.9</v>
      </c>
      <c r="G802" s="8">
        <v>73</v>
      </c>
      <c r="H802" s="7">
        <f t="shared" si="36"/>
        <v>70.400000000000006</v>
      </c>
      <c r="I802" s="7" t="str">
        <f t="shared" si="37"/>
        <v>PASS</v>
      </c>
      <c r="J802" s="7" t="str">
        <f t="shared" si="38"/>
        <v>Low Risk</v>
      </c>
      <c r="L802" s="7" t="str">
        <f>IF(J802="High Risk",COUNTIF($J$3:J802,"High Risk"),"")</f>
        <v/>
      </c>
      <c r="M802" s="7">
        <f>RANK(H802,$H$3:$H$1002,0)+COUNTIF($H$3:H802,H802)-1</f>
        <v>424</v>
      </c>
    </row>
    <row r="803" spans="1:13" x14ac:dyDescent="0.35">
      <c r="A803" s="7" t="s">
        <v>1514</v>
      </c>
      <c r="B803" s="7" t="s">
        <v>1515</v>
      </c>
      <c r="C803" s="8" t="s">
        <v>62</v>
      </c>
      <c r="D803" s="8" t="s">
        <v>68</v>
      </c>
      <c r="E803" s="8">
        <v>72.900000000000006</v>
      </c>
      <c r="F803" s="8">
        <v>5.8</v>
      </c>
      <c r="G803" s="8">
        <v>49</v>
      </c>
      <c r="H803" s="7">
        <f t="shared" si="36"/>
        <v>58.9</v>
      </c>
      <c r="I803" s="7" t="str">
        <f t="shared" si="37"/>
        <v>PASS</v>
      </c>
      <c r="J803" s="7" t="str">
        <f t="shared" si="38"/>
        <v>Medium Risk</v>
      </c>
      <c r="L803" s="7" t="str">
        <f>IF(J803="High Risk",COUNTIF($J$3:J803,"High Risk"),"")</f>
        <v/>
      </c>
      <c r="M803" s="7">
        <f>RANK(H803,$H$3:$H$1002,0)+COUNTIF($H$3:H803,H803)-1</f>
        <v>643</v>
      </c>
    </row>
    <row r="804" spans="1:13" x14ac:dyDescent="0.35">
      <c r="A804" s="7" t="s">
        <v>1516</v>
      </c>
      <c r="B804" s="7" t="s">
        <v>1517</v>
      </c>
      <c r="C804" s="8" t="s">
        <v>56</v>
      </c>
      <c r="D804" s="8" t="s">
        <v>57</v>
      </c>
      <c r="E804" s="8">
        <v>69</v>
      </c>
      <c r="F804" s="8">
        <v>5.2</v>
      </c>
      <c r="G804" s="8">
        <v>67</v>
      </c>
      <c r="H804" s="7">
        <f t="shared" si="36"/>
        <v>63.1</v>
      </c>
      <c r="I804" s="7" t="str">
        <f t="shared" si="37"/>
        <v>PASS</v>
      </c>
      <c r="J804" s="7" t="str">
        <f t="shared" si="38"/>
        <v>Medium Risk</v>
      </c>
      <c r="L804" s="7" t="str">
        <f>IF(J804="High Risk",COUNTIF($J$3:J804,"High Risk"),"")</f>
        <v/>
      </c>
      <c r="M804" s="7">
        <f>RANK(H804,$H$3:$H$1002,0)+COUNTIF($H$3:H804,H804)-1</f>
        <v>561</v>
      </c>
    </row>
    <row r="805" spans="1:13" x14ac:dyDescent="0.35">
      <c r="A805" s="7" t="s">
        <v>1518</v>
      </c>
      <c r="B805" s="7" t="s">
        <v>1519</v>
      </c>
      <c r="C805" s="8" t="s">
        <v>62</v>
      </c>
      <c r="D805" s="8" t="s">
        <v>63</v>
      </c>
      <c r="E805" s="8">
        <v>80.3</v>
      </c>
      <c r="F805" s="8">
        <v>8.4</v>
      </c>
      <c r="G805" s="8">
        <v>77</v>
      </c>
      <c r="H805" s="7">
        <f t="shared" si="36"/>
        <v>80.099999999999994</v>
      </c>
      <c r="I805" s="7" t="str">
        <f t="shared" si="37"/>
        <v>PASS</v>
      </c>
      <c r="J805" s="7" t="str">
        <f t="shared" si="38"/>
        <v>Low Risk</v>
      </c>
      <c r="L805" s="7" t="str">
        <f>IF(J805="High Risk",COUNTIF($J$3:J805,"High Risk"),"")</f>
        <v/>
      </c>
      <c r="M805" s="7">
        <f>RANK(H805,$H$3:$H$1002,0)+COUNTIF($H$3:H805,H805)-1</f>
        <v>246</v>
      </c>
    </row>
    <row r="806" spans="1:13" x14ac:dyDescent="0.35">
      <c r="A806" s="7" t="s">
        <v>1520</v>
      </c>
      <c r="B806" s="7" t="s">
        <v>1521</v>
      </c>
      <c r="C806" s="8" t="s">
        <v>56</v>
      </c>
      <c r="D806" s="8" t="s">
        <v>68</v>
      </c>
      <c r="E806" s="8">
        <v>71.5</v>
      </c>
      <c r="F806" s="8">
        <v>2.7</v>
      </c>
      <c r="G806" s="8">
        <v>59</v>
      </c>
      <c r="H806" s="7">
        <f t="shared" si="36"/>
        <v>53.2</v>
      </c>
      <c r="I806" s="7" t="str">
        <f t="shared" si="37"/>
        <v>PASS</v>
      </c>
      <c r="J806" s="7" t="str">
        <f t="shared" si="38"/>
        <v>Medium Risk</v>
      </c>
      <c r="L806" s="7" t="str">
        <f>IF(J806="High Risk",COUNTIF($J$3:J806,"High Risk"),"")</f>
        <v/>
      </c>
      <c r="M806" s="7">
        <f>RANK(H806,$H$3:$H$1002,0)+COUNTIF($H$3:H806,H806)-1</f>
        <v>748</v>
      </c>
    </row>
    <row r="807" spans="1:13" x14ac:dyDescent="0.35">
      <c r="A807" s="7" t="s">
        <v>1522</v>
      </c>
      <c r="B807" s="7" t="s">
        <v>122</v>
      </c>
      <c r="C807" s="8" t="s">
        <v>62</v>
      </c>
      <c r="D807" s="8" t="s">
        <v>68</v>
      </c>
      <c r="E807" s="8">
        <v>63</v>
      </c>
      <c r="F807" s="8">
        <v>5.5</v>
      </c>
      <c r="G807" s="8">
        <v>59</v>
      </c>
      <c r="H807" s="7">
        <f t="shared" si="36"/>
        <v>59</v>
      </c>
      <c r="I807" s="7" t="str">
        <f t="shared" si="37"/>
        <v>PASS</v>
      </c>
      <c r="J807" s="7" t="str">
        <f t="shared" si="38"/>
        <v>Medium Risk</v>
      </c>
      <c r="L807" s="7" t="str">
        <f>IF(J807="High Risk",COUNTIF($J$3:J807,"High Risk"),"")</f>
        <v/>
      </c>
      <c r="M807" s="7">
        <f>RANK(H807,$H$3:$H$1002,0)+COUNTIF($H$3:H807,H807)-1</f>
        <v>642</v>
      </c>
    </row>
    <row r="808" spans="1:13" x14ac:dyDescent="0.35">
      <c r="A808" s="7" t="s">
        <v>1523</v>
      </c>
      <c r="B808" s="7" t="s">
        <v>1524</v>
      </c>
      <c r="C808" s="8" t="s">
        <v>62</v>
      </c>
      <c r="D808" s="8" t="s">
        <v>75</v>
      </c>
      <c r="E808" s="8">
        <v>96.1</v>
      </c>
      <c r="F808" s="8">
        <v>9</v>
      </c>
      <c r="G808" s="8">
        <v>87</v>
      </c>
      <c r="H808" s="7">
        <f t="shared" si="36"/>
        <v>90.6</v>
      </c>
      <c r="I808" s="7" t="str">
        <f t="shared" si="37"/>
        <v>PASS</v>
      </c>
      <c r="J808" s="7" t="str">
        <f t="shared" si="38"/>
        <v>Low Risk</v>
      </c>
      <c r="L808" s="7" t="str">
        <f>IF(J808="High Risk",COUNTIF($J$3:J808,"High Risk"),"")</f>
        <v/>
      </c>
      <c r="M808" s="7">
        <f>RANK(H808,$H$3:$H$1002,0)+COUNTIF($H$3:H808,H808)-1</f>
        <v>99</v>
      </c>
    </row>
    <row r="809" spans="1:13" x14ac:dyDescent="0.35">
      <c r="A809" s="7" t="s">
        <v>1525</v>
      </c>
      <c r="B809" s="7" t="s">
        <v>1349</v>
      </c>
      <c r="C809" s="8" t="s">
        <v>62</v>
      </c>
      <c r="D809" s="8" t="s">
        <v>57</v>
      </c>
      <c r="E809" s="8">
        <v>71.5</v>
      </c>
      <c r="F809" s="8">
        <v>0.6</v>
      </c>
      <c r="G809" s="8">
        <v>40</v>
      </c>
      <c r="H809" s="7">
        <f t="shared" si="36"/>
        <v>39.299999999999997</v>
      </c>
      <c r="I809" s="7" t="str">
        <f t="shared" si="37"/>
        <v>FAIL</v>
      </c>
      <c r="J809" s="7" t="str">
        <f t="shared" si="38"/>
        <v>High Risk</v>
      </c>
      <c r="L809" s="7">
        <f>IF(J809="High Risk",COUNTIF($J$3:J809,"High Risk"),"")</f>
        <v>162</v>
      </c>
      <c r="M809" s="7">
        <f>RANK(H809,$H$3:$H$1002,0)+COUNTIF($H$3:H809,H809)-1</f>
        <v>908</v>
      </c>
    </row>
    <row r="810" spans="1:13" x14ac:dyDescent="0.35">
      <c r="A810" s="7" t="s">
        <v>1526</v>
      </c>
      <c r="B810" s="7" t="s">
        <v>1527</v>
      </c>
      <c r="C810" s="8" t="s">
        <v>56</v>
      </c>
      <c r="D810" s="8" t="s">
        <v>68</v>
      </c>
      <c r="E810" s="8">
        <v>100</v>
      </c>
      <c r="F810" s="8">
        <v>4.3</v>
      </c>
      <c r="G810" s="8">
        <v>92</v>
      </c>
      <c r="H810" s="7">
        <f t="shared" si="36"/>
        <v>79.7</v>
      </c>
      <c r="I810" s="7" t="str">
        <f t="shared" si="37"/>
        <v>PASS</v>
      </c>
      <c r="J810" s="7" t="str">
        <f t="shared" si="38"/>
        <v>Low Risk</v>
      </c>
      <c r="L810" s="7" t="str">
        <f>IF(J810="High Risk",COUNTIF($J$3:J810,"High Risk"),"")</f>
        <v/>
      </c>
      <c r="M810" s="7">
        <f>RANK(H810,$H$3:$H$1002,0)+COUNTIF($H$3:H810,H810)-1</f>
        <v>253</v>
      </c>
    </row>
    <row r="811" spans="1:13" x14ac:dyDescent="0.35">
      <c r="A811" s="7" t="s">
        <v>1528</v>
      </c>
      <c r="B811" s="7" t="s">
        <v>1027</v>
      </c>
      <c r="C811" s="8" t="s">
        <v>62</v>
      </c>
      <c r="D811" s="8" t="s">
        <v>57</v>
      </c>
      <c r="E811" s="8">
        <v>59</v>
      </c>
      <c r="F811" s="8">
        <v>5.5</v>
      </c>
      <c r="G811" s="8">
        <v>68</v>
      </c>
      <c r="H811" s="7">
        <f t="shared" si="36"/>
        <v>61.4</v>
      </c>
      <c r="I811" s="7" t="str">
        <f t="shared" si="37"/>
        <v>PASS</v>
      </c>
      <c r="J811" s="7" t="str">
        <f t="shared" si="38"/>
        <v>Medium Risk</v>
      </c>
      <c r="L811" s="7" t="str">
        <f>IF(J811="High Risk",COUNTIF($J$3:J811,"High Risk"),"")</f>
        <v/>
      </c>
      <c r="M811" s="7">
        <f>RANK(H811,$H$3:$H$1002,0)+COUNTIF($H$3:H811,H811)-1</f>
        <v>597</v>
      </c>
    </row>
    <row r="812" spans="1:13" x14ac:dyDescent="0.35">
      <c r="A812" s="7" t="s">
        <v>1529</v>
      </c>
      <c r="B812" s="7" t="s">
        <v>1530</v>
      </c>
      <c r="C812" s="8" t="s">
        <v>56</v>
      </c>
      <c r="D812" s="8" t="s">
        <v>63</v>
      </c>
      <c r="E812" s="8">
        <v>95</v>
      </c>
      <c r="F812" s="8">
        <v>13</v>
      </c>
      <c r="G812" s="8">
        <v>77</v>
      </c>
      <c r="H812" s="7">
        <f t="shared" si="36"/>
        <v>89.3</v>
      </c>
      <c r="I812" s="7" t="str">
        <f t="shared" si="37"/>
        <v>PASS</v>
      </c>
      <c r="J812" s="7" t="str">
        <f t="shared" si="38"/>
        <v>Low Risk</v>
      </c>
      <c r="L812" s="7" t="str">
        <f>IF(J812="High Risk",COUNTIF($J$3:J812,"High Risk"),"")</f>
        <v/>
      </c>
      <c r="M812" s="7">
        <f>RANK(H812,$H$3:$H$1002,0)+COUNTIF($H$3:H812,H812)-1</f>
        <v>114</v>
      </c>
    </row>
    <row r="813" spans="1:13" x14ac:dyDescent="0.35">
      <c r="A813" s="7" t="s">
        <v>1531</v>
      </c>
      <c r="B813" s="7" t="s">
        <v>1165</v>
      </c>
      <c r="C813" s="8" t="s">
        <v>56</v>
      </c>
      <c r="D813" s="8" t="s">
        <v>63</v>
      </c>
      <c r="E813" s="8">
        <v>95.1</v>
      </c>
      <c r="F813" s="8">
        <v>5.8</v>
      </c>
      <c r="G813" s="8">
        <v>85</v>
      </c>
      <c r="H813" s="7">
        <f t="shared" si="36"/>
        <v>79.900000000000006</v>
      </c>
      <c r="I813" s="7" t="str">
        <f t="shared" si="37"/>
        <v>PASS</v>
      </c>
      <c r="J813" s="7" t="str">
        <f t="shared" si="38"/>
        <v>Low Risk</v>
      </c>
      <c r="L813" s="7" t="str">
        <f>IF(J813="High Risk",COUNTIF($J$3:J813,"High Risk"),"")</f>
        <v/>
      </c>
      <c r="M813" s="7">
        <f>RANK(H813,$H$3:$H$1002,0)+COUNTIF($H$3:H813,H813)-1</f>
        <v>250</v>
      </c>
    </row>
    <row r="814" spans="1:13" x14ac:dyDescent="0.35">
      <c r="A814" s="7" t="s">
        <v>1532</v>
      </c>
      <c r="B814" s="7" t="s">
        <v>1347</v>
      </c>
      <c r="C814" s="8" t="s">
        <v>56</v>
      </c>
      <c r="D814" s="8" t="s">
        <v>57</v>
      </c>
      <c r="E814" s="8">
        <v>72.3</v>
      </c>
      <c r="F814" s="8">
        <v>5.0999999999999996</v>
      </c>
      <c r="G814" s="8">
        <v>46</v>
      </c>
      <c r="H814" s="7">
        <f t="shared" si="36"/>
        <v>55.4</v>
      </c>
      <c r="I814" s="7" t="str">
        <f t="shared" si="37"/>
        <v>PASS</v>
      </c>
      <c r="J814" s="7" t="str">
        <f t="shared" si="38"/>
        <v>Medium Risk</v>
      </c>
      <c r="L814" s="7" t="str">
        <f>IF(J814="High Risk",COUNTIF($J$3:J814,"High Risk"),"")</f>
        <v/>
      </c>
      <c r="M814" s="7">
        <f>RANK(H814,$H$3:$H$1002,0)+COUNTIF($H$3:H814,H814)-1</f>
        <v>704</v>
      </c>
    </row>
    <row r="815" spans="1:13" x14ac:dyDescent="0.35">
      <c r="A815" s="7" t="s">
        <v>1533</v>
      </c>
      <c r="B815" s="7" t="s">
        <v>1534</v>
      </c>
      <c r="C815" s="8" t="s">
        <v>56</v>
      </c>
      <c r="D815" s="8" t="s">
        <v>57</v>
      </c>
      <c r="E815" s="8">
        <v>77.7</v>
      </c>
      <c r="F815" s="8">
        <v>5.9</v>
      </c>
      <c r="G815" s="8">
        <v>64</v>
      </c>
      <c r="H815" s="7">
        <f t="shared" si="36"/>
        <v>66.599999999999994</v>
      </c>
      <c r="I815" s="7" t="str">
        <f t="shared" si="37"/>
        <v>PASS</v>
      </c>
      <c r="J815" s="7" t="str">
        <f t="shared" si="38"/>
        <v>Low Risk</v>
      </c>
      <c r="L815" s="7" t="str">
        <f>IF(J815="High Risk",COUNTIF($J$3:J815,"High Risk"),"")</f>
        <v/>
      </c>
      <c r="M815" s="7">
        <f>RANK(H815,$H$3:$H$1002,0)+COUNTIF($H$3:H815,H815)-1</f>
        <v>500</v>
      </c>
    </row>
    <row r="816" spans="1:13" x14ac:dyDescent="0.35">
      <c r="A816" s="7" t="s">
        <v>1535</v>
      </c>
      <c r="B816" s="7" t="s">
        <v>1536</v>
      </c>
      <c r="C816" s="8" t="s">
        <v>62</v>
      </c>
      <c r="D816" s="8" t="s">
        <v>63</v>
      </c>
      <c r="E816" s="8">
        <v>92.7</v>
      </c>
      <c r="F816" s="8">
        <v>9.1999999999999993</v>
      </c>
      <c r="G816" s="8">
        <v>67</v>
      </c>
      <c r="H816" s="7">
        <f t="shared" si="36"/>
        <v>82.2</v>
      </c>
      <c r="I816" s="7" t="str">
        <f t="shared" si="37"/>
        <v>PASS</v>
      </c>
      <c r="J816" s="7" t="str">
        <f t="shared" si="38"/>
        <v>Low Risk</v>
      </c>
      <c r="L816" s="7" t="str">
        <f>IF(J816="High Risk",COUNTIF($J$3:J816,"High Risk"),"")</f>
        <v/>
      </c>
      <c r="M816" s="7">
        <f>RANK(H816,$H$3:$H$1002,0)+COUNTIF($H$3:H816,H816)-1</f>
        <v>211</v>
      </c>
    </row>
    <row r="817" spans="1:13" x14ac:dyDescent="0.35">
      <c r="A817" s="7" t="s">
        <v>1537</v>
      </c>
      <c r="B817" s="7" t="s">
        <v>1538</v>
      </c>
      <c r="C817" s="8" t="s">
        <v>62</v>
      </c>
      <c r="D817" s="8" t="s">
        <v>68</v>
      </c>
      <c r="E817" s="8">
        <v>49.7</v>
      </c>
      <c r="F817" s="8">
        <v>5.8</v>
      </c>
      <c r="G817" s="8">
        <v>49</v>
      </c>
      <c r="H817" s="7">
        <f t="shared" si="36"/>
        <v>51.9</v>
      </c>
      <c r="I817" s="7" t="str">
        <f t="shared" si="37"/>
        <v>PASS</v>
      </c>
      <c r="J817" s="7" t="str">
        <f t="shared" si="38"/>
        <v>Medium Risk</v>
      </c>
      <c r="L817" s="7" t="str">
        <f>IF(J817="High Risk",COUNTIF($J$3:J817,"High Risk"),"")</f>
        <v/>
      </c>
      <c r="M817" s="7">
        <f>RANK(H817,$H$3:$H$1002,0)+COUNTIF($H$3:H817,H817)-1</f>
        <v>770</v>
      </c>
    </row>
    <row r="818" spans="1:13" x14ac:dyDescent="0.35">
      <c r="A818" s="7" t="s">
        <v>1539</v>
      </c>
      <c r="B818" s="7" t="s">
        <v>1540</v>
      </c>
      <c r="C818" s="8" t="s">
        <v>62</v>
      </c>
      <c r="D818" s="8" t="s">
        <v>75</v>
      </c>
      <c r="E818" s="8">
        <v>92.2</v>
      </c>
      <c r="F818" s="8">
        <v>8</v>
      </c>
      <c r="G818" s="8">
        <v>97</v>
      </c>
      <c r="H818" s="7">
        <f t="shared" si="36"/>
        <v>90.5</v>
      </c>
      <c r="I818" s="7" t="str">
        <f t="shared" si="37"/>
        <v>PASS</v>
      </c>
      <c r="J818" s="7" t="str">
        <f t="shared" si="38"/>
        <v>Low Risk</v>
      </c>
      <c r="L818" s="7" t="str">
        <f>IF(J818="High Risk",COUNTIF($J$3:J818,"High Risk"),"")</f>
        <v/>
      </c>
      <c r="M818" s="7">
        <f>RANK(H818,$H$3:$H$1002,0)+COUNTIF($H$3:H818,H818)-1</f>
        <v>101</v>
      </c>
    </row>
    <row r="819" spans="1:13" x14ac:dyDescent="0.35">
      <c r="A819" s="7" t="s">
        <v>1541</v>
      </c>
      <c r="B819" s="7" t="s">
        <v>1542</v>
      </c>
      <c r="C819" s="8" t="s">
        <v>56</v>
      </c>
      <c r="D819" s="8" t="s">
        <v>57</v>
      </c>
      <c r="E819" s="8">
        <v>84</v>
      </c>
      <c r="F819" s="8">
        <v>13.1</v>
      </c>
      <c r="G819" s="8">
        <v>89</v>
      </c>
      <c r="H819" s="7">
        <f t="shared" si="36"/>
        <v>90.8</v>
      </c>
      <c r="I819" s="7" t="str">
        <f t="shared" si="37"/>
        <v>PASS</v>
      </c>
      <c r="J819" s="7" t="str">
        <f t="shared" si="38"/>
        <v>Low Risk</v>
      </c>
      <c r="L819" s="7" t="str">
        <f>IF(J819="High Risk",COUNTIF($J$3:J819,"High Risk"),"")</f>
        <v/>
      </c>
      <c r="M819" s="7">
        <f>RANK(H819,$H$3:$H$1002,0)+COUNTIF($H$3:H819,H819)-1</f>
        <v>96</v>
      </c>
    </row>
    <row r="820" spans="1:13" x14ac:dyDescent="0.35">
      <c r="A820" s="7" t="s">
        <v>1543</v>
      </c>
      <c r="B820" s="7" t="s">
        <v>560</v>
      </c>
      <c r="C820" s="8" t="s">
        <v>62</v>
      </c>
      <c r="D820" s="8" t="s">
        <v>57</v>
      </c>
      <c r="E820" s="8">
        <v>69.5</v>
      </c>
      <c r="F820" s="8">
        <v>3</v>
      </c>
      <c r="G820" s="8">
        <v>54</v>
      </c>
      <c r="H820" s="7">
        <f t="shared" si="36"/>
        <v>51.5</v>
      </c>
      <c r="I820" s="7" t="str">
        <f t="shared" si="37"/>
        <v>PASS</v>
      </c>
      <c r="J820" s="7" t="str">
        <f t="shared" si="38"/>
        <v>Medium Risk</v>
      </c>
      <c r="L820" s="7" t="str">
        <f>IF(J820="High Risk",COUNTIF($J$3:J820,"High Risk"),"")</f>
        <v/>
      </c>
      <c r="M820" s="7">
        <f>RANK(H820,$H$3:$H$1002,0)+COUNTIF($H$3:H820,H820)-1</f>
        <v>778</v>
      </c>
    </row>
    <row r="821" spans="1:13" x14ac:dyDescent="0.35">
      <c r="A821" s="7" t="s">
        <v>1544</v>
      </c>
      <c r="B821" s="7" t="s">
        <v>1545</v>
      </c>
      <c r="C821" s="8" t="s">
        <v>56</v>
      </c>
      <c r="D821" s="8" t="s">
        <v>63</v>
      </c>
      <c r="E821" s="8">
        <v>89.3</v>
      </c>
      <c r="F821" s="8">
        <v>4.9000000000000004</v>
      </c>
      <c r="G821" s="8">
        <v>71</v>
      </c>
      <c r="H821" s="7">
        <f t="shared" si="36"/>
        <v>69.900000000000006</v>
      </c>
      <c r="I821" s="7" t="str">
        <f t="shared" si="37"/>
        <v>PASS</v>
      </c>
      <c r="J821" s="7" t="str">
        <f t="shared" si="38"/>
        <v>Low Risk</v>
      </c>
      <c r="L821" s="7" t="str">
        <f>IF(J821="High Risk",COUNTIF($J$3:J821,"High Risk"),"")</f>
        <v/>
      </c>
      <c r="M821" s="7">
        <f>RANK(H821,$H$3:$H$1002,0)+COUNTIF($H$3:H821,H821)-1</f>
        <v>435</v>
      </c>
    </row>
    <row r="822" spans="1:13" x14ac:dyDescent="0.35">
      <c r="A822" s="7" t="s">
        <v>1546</v>
      </c>
      <c r="B822" s="7" t="s">
        <v>723</v>
      </c>
      <c r="C822" s="8" t="s">
        <v>56</v>
      </c>
      <c r="D822" s="8" t="s">
        <v>63</v>
      </c>
      <c r="E822" s="8">
        <v>76.7</v>
      </c>
      <c r="F822" s="8">
        <v>1.8</v>
      </c>
      <c r="G822" s="8">
        <v>51</v>
      </c>
      <c r="H822" s="7">
        <f t="shared" si="36"/>
        <v>48.8</v>
      </c>
      <c r="I822" s="7" t="str">
        <f t="shared" si="37"/>
        <v>FAIL</v>
      </c>
      <c r="J822" s="7" t="str">
        <f t="shared" si="38"/>
        <v>High Risk</v>
      </c>
      <c r="L822" s="7">
        <f>IF(J822="High Risk",COUNTIF($J$3:J822,"High Risk"),"")</f>
        <v>163</v>
      </c>
      <c r="M822" s="7">
        <f>RANK(H822,$H$3:$H$1002,0)+COUNTIF($H$3:H822,H822)-1</f>
        <v>819</v>
      </c>
    </row>
    <row r="823" spans="1:13" x14ac:dyDescent="0.35">
      <c r="A823" s="7" t="s">
        <v>1547</v>
      </c>
      <c r="B823" s="7" t="s">
        <v>1548</v>
      </c>
      <c r="C823" s="8" t="s">
        <v>56</v>
      </c>
      <c r="D823" s="8" t="s">
        <v>75</v>
      </c>
      <c r="E823" s="8">
        <v>57.6</v>
      </c>
      <c r="F823" s="8">
        <v>5</v>
      </c>
      <c r="G823" s="8">
        <v>54</v>
      </c>
      <c r="H823" s="7">
        <f t="shared" si="36"/>
        <v>53.9</v>
      </c>
      <c r="I823" s="7" t="str">
        <f t="shared" si="37"/>
        <v>PASS</v>
      </c>
      <c r="J823" s="7" t="str">
        <f t="shared" si="38"/>
        <v>Medium Risk</v>
      </c>
      <c r="L823" s="7" t="str">
        <f>IF(J823="High Risk",COUNTIF($J$3:J823,"High Risk"),"")</f>
        <v/>
      </c>
      <c r="M823" s="7">
        <f>RANK(H823,$H$3:$H$1002,0)+COUNTIF($H$3:H823,H823)-1</f>
        <v>735</v>
      </c>
    </row>
    <row r="824" spans="1:13" x14ac:dyDescent="0.35">
      <c r="A824" s="7" t="s">
        <v>1549</v>
      </c>
      <c r="B824" s="7" t="s">
        <v>1550</v>
      </c>
      <c r="C824" s="8" t="s">
        <v>62</v>
      </c>
      <c r="D824" s="8" t="s">
        <v>75</v>
      </c>
      <c r="E824" s="8">
        <v>53.4</v>
      </c>
      <c r="F824" s="8">
        <v>7.9</v>
      </c>
      <c r="G824" s="8">
        <v>52</v>
      </c>
      <c r="H824" s="7">
        <f t="shared" si="36"/>
        <v>60.5</v>
      </c>
      <c r="I824" s="7" t="str">
        <f t="shared" si="37"/>
        <v>PASS</v>
      </c>
      <c r="J824" s="7" t="str">
        <f t="shared" si="38"/>
        <v>Medium Risk</v>
      </c>
      <c r="L824" s="7" t="str">
        <f>IF(J824="High Risk",COUNTIF($J$3:J824,"High Risk"),"")</f>
        <v/>
      </c>
      <c r="M824" s="7">
        <f>RANK(H824,$H$3:$H$1002,0)+COUNTIF($H$3:H824,H824)-1</f>
        <v>611</v>
      </c>
    </row>
    <row r="825" spans="1:13" x14ac:dyDescent="0.35">
      <c r="A825" s="7" t="s">
        <v>1551</v>
      </c>
      <c r="B825" s="7" t="s">
        <v>1552</v>
      </c>
      <c r="C825" s="8" t="s">
        <v>56</v>
      </c>
      <c r="D825" s="8" t="s">
        <v>75</v>
      </c>
      <c r="E825" s="8">
        <v>100</v>
      </c>
      <c r="F825" s="8">
        <v>9.6</v>
      </c>
      <c r="G825" s="8">
        <v>100</v>
      </c>
      <c r="H825" s="7">
        <f t="shared" si="36"/>
        <v>98.8</v>
      </c>
      <c r="I825" s="7" t="str">
        <f t="shared" si="37"/>
        <v>PASS</v>
      </c>
      <c r="J825" s="7" t="str">
        <f t="shared" si="38"/>
        <v>Low Risk</v>
      </c>
      <c r="L825" s="7" t="str">
        <f>IF(J825="High Risk",COUNTIF($J$3:J825,"High Risk"),"")</f>
        <v/>
      </c>
      <c r="M825" s="7">
        <f>RANK(H825,$H$3:$H$1002,0)+COUNTIF($H$3:H825,H825)-1</f>
        <v>24</v>
      </c>
    </row>
    <row r="826" spans="1:13" x14ac:dyDescent="0.35">
      <c r="A826" s="7" t="s">
        <v>1553</v>
      </c>
      <c r="B826" s="7" t="s">
        <v>1554</v>
      </c>
      <c r="C826" s="8" t="s">
        <v>56</v>
      </c>
      <c r="D826" s="8" t="s">
        <v>57</v>
      </c>
      <c r="E826" s="8">
        <v>83.8</v>
      </c>
      <c r="F826" s="8">
        <v>8.1</v>
      </c>
      <c r="G826" s="8">
        <v>87</v>
      </c>
      <c r="H826" s="7">
        <f t="shared" si="36"/>
        <v>84.2</v>
      </c>
      <c r="I826" s="7" t="str">
        <f t="shared" si="37"/>
        <v>PASS</v>
      </c>
      <c r="J826" s="7" t="str">
        <f t="shared" si="38"/>
        <v>Low Risk</v>
      </c>
      <c r="L826" s="7" t="str">
        <f>IF(J826="High Risk",COUNTIF($J$3:J826,"High Risk"),"")</f>
        <v/>
      </c>
      <c r="M826" s="7">
        <f>RANK(H826,$H$3:$H$1002,0)+COUNTIF($H$3:H826,H826)-1</f>
        <v>181</v>
      </c>
    </row>
    <row r="827" spans="1:13" x14ac:dyDescent="0.35">
      <c r="A827" s="7" t="s">
        <v>1555</v>
      </c>
      <c r="B827" s="7" t="s">
        <v>444</v>
      </c>
      <c r="C827" s="8" t="s">
        <v>56</v>
      </c>
      <c r="D827" s="8" t="s">
        <v>68</v>
      </c>
      <c r="E827" s="8">
        <v>66.2</v>
      </c>
      <c r="F827" s="8">
        <v>3.6</v>
      </c>
      <c r="G827" s="8">
        <v>64</v>
      </c>
      <c r="H827" s="7">
        <f t="shared" si="36"/>
        <v>56.3</v>
      </c>
      <c r="I827" s="7" t="str">
        <f t="shared" si="37"/>
        <v>PASS</v>
      </c>
      <c r="J827" s="7" t="str">
        <f t="shared" si="38"/>
        <v>Medium Risk</v>
      </c>
      <c r="L827" s="7" t="str">
        <f>IF(J827="High Risk",COUNTIF($J$3:J827,"High Risk"),"")</f>
        <v/>
      </c>
      <c r="M827" s="7">
        <f>RANK(H827,$H$3:$H$1002,0)+COUNTIF($H$3:H827,H827)-1</f>
        <v>695</v>
      </c>
    </row>
    <row r="828" spans="1:13" x14ac:dyDescent="0.35">
      <c r="A828" s="7" t="s">
        <v>1556</v>
      </c>
      <c r="B828" s="7" t="s">
        <v>1068</v>
      </c>
      <c r="C828" s="8" t="s">
        <v>56</v>
      </c>
      <c r="D828" s="8" t="s">
        <v>57</v>
      </c>
      <c r="E828" s="8">
        <v>78.400000000000006</v>
      </c>
      <c r="F828" s="8">
        <v>9.6999999999999993</v>
      </c>
      <c r="G828" s="8">
        <v>69</v>
      </c>
      <c r="H828" s="7">
        <f t="shared" si="36"/>
        <v>80.2</v>
      </c>
      <c r="I828" s="7" t="str">
        <f t="shared" si="37"/>
        <v>PASS</v>
      </c>
      <c r="J828" s="7" t="str">
        <f t="shared" si="38"/>
        <v>Low Risk</v>
      </c>
      <c r="L828" s="7" t="str">
        <f>IF(J828="High Risk",COUNTIF($J$3:J828,"High Risk"),"")</f>
        <v/>
      </c>
      <c r="M828" s="7">
        <f>RANK(H828,$H$3:$H$1002,0)+COUNTIF($H$3:H828,H828)-1</f>
        <v>243</v>
      </c>
    </row>
    <row r="829" spans="1:13" x14ac:dyDescent="0.35">
      <c r="A829" s="7" t="s">
        <v>1557</v>
      </c>
      <c r="B829" s="7" t="s">
        <v>1558</v>
      </c>
      <c r="C829" s="8" t="s">
        <v>62</v>
      </c>
      <c r="D829" s="8" t="s">
        <v>63</v>
      </c>
      <c r="E829" s="8">
        <v>70</v>
      </c>
      <c r="F829" s="8">
        <v>5.5</v>
      </c>
      <c r="G829" s="8">
        <v>62</v>
      </c>
      <c r="H829" s="7">
        <f t="shared" si="36"/>
        <v>62.3</v>
      </c>
      <c r="I829" s="7" t="str">
        <f t="shared" si="37"/>
        <v>PASS</v>
      </c>
      <c r="J829" s="7" t="str">
        <f t="shared" si="38"/>
        <v>Medium Risk</v>
      </c>
      <c r="L829" s="7" t="str">
        <f>IF(J829="High Risk",COUNTIF($J$3:J829,"High Risk"),"")</f>
        <v/>
      </c>
      <c r="M829" s="7">
        <f>RANK(H829,$H$3:$H$1002,0)+COUNTIF($H$3:H829,H829)-1</f>
        <v>576</v>
      </c>
    </row>
    <row r="830" spans="1:13" x14ac:dyDescent="0.35">
      <c r="A830" s="7" t="s">
        <v>1559</v>
      </c>
      <c r="B830" s="7" t="s">
        <v>1560</v>
      </c>
      <c r="C830" s="8" t="s">
        <v>62</v>
      </c>
      <c r="D830" s="8" t="s">
        <v>63</v>
      </c>
      <c r="E830" s="8">
        <v>81.2</v>
      </c>
      <c r="F830" s="8">
        <v>8</v>
      </c>
      <c r="G830" s="8">
        <v>70</v>
      </c>
      <c r="H830" s="7">
        <f t="shared" si="36"/>
        <v>76.400000000000006</v>
      </c>
      <c r="I830" s="7" t="str">
        <f t="shared" si="37"/>
        <v>PASS</v>
      </c>
      <c r="J830" s="7" t="str">
        <f t="shared" si="38"/>
        <v>Low Risk</v>
      </c>
      <c r="L830" s="7" t="str">
        <f>IF(J830="High Risk",COUNTIF($J$3:J830,"High Risk"),"")</f>
        <v/>
      </c>
      <c r="M830" s="7">
        <f>RANK(H830,$H$3:$H$1002,0)+COUNTIF($H$3:H830,H830)-1</f>
        <v>301</v>
      </c>
    </row>
    <row r="831" spans="1:13" x14ac:dyDescent="0.35">
      <c r="A831" s="7" t="s">
        <v>1561</v>
      </c>
      <c r="B831" s="7" t="s">
        <v>1562</v>
      </c>
      <c r="C831" s="8" t="s">
        <v>62</v>
      </c>
      <c r="D831" s="8" t="s">
        <v>68</v>
      </c>
      <c r="E831" s="8">
        <v>87.6</v>
      </c>
      <c r="F831" s="8">
        <v>9.6</v>
      </c>
      <c r="G831" s="8">
        <v>70</v>
      </c>
      <c r="H831" s="7">
        <f t="shared" si="36"/>
        <v>83.1</v>
      </c>
      <c r="I831" s="7" t="str">
        <f t="shared" si="37"/>
        <v>PASS</v>
      </c>
      <c r="J831" s="7" t="str">
        <f t="shared" si="38"/>
        <v>Low Risk</v>
      </c>
      <c r="L831" s="7" t="str">
        <f>IF(J831="High Risk",COUNTIF($J$3:J831,"High Risk"),"")</f>
        <v/>
      </c>
      <c r="M831" s="7">
        <f>RANK(H831,$H$3:$H$1002,0)+COUNTIF($H$3:H831,H831)-1</f>
        <v>194</v>
      </c>
    </row>
    <row r="832" spans="1:13" x14ac:dyDescent="0.35">
      <c r="A832" s="7" t="s">
        <v>1563</v>
      </c>
      <c r="B832" s="7" t="s">
        <v>1564</v>
      </c>
      <c r="C832" s="8" t="s">
        <v>56</v>
      </c>
      <c r="D832" s="8" t="s">
        <v>75</v>
      </c>
      <c r="E832" s="8">
        <v>100</v>
      </c>
      <c r="F832" s="8">
        <v>9.8000000000000007</v>
      </c>
      <c r="G832" s="8">
        <v>84</v>
      </c>
      <c r="H832" s="7">
        <f t="shared" si="36"/>
        <v>93</v>
      </c>
      <c r="I832" s="7" t="str">
        <f t="shared" si="37"/>
        <v>PASS</v>
      </c>
      <c r="J832" s="7" t="str">
        <f t="shared" si="38"/>
        <v>Low Risk</v>
      </c>
      <c r="L832" s="7" t="str">
        <f>IF(J832="High Risk",COUNTIF($J$3:J832,"High Risk"),"")</f>
        <v/>
      </c>
      <c r="M832" s="7">
        <f>RANK(H832,$H$3:$H$1002,0)+COUNTIF($H$3:H832,H832)-1</f>
        <v>72</v>
      </c>
    </row>
    <row r="833" spans="1:13" x14ac:dyDescent="0.35">
      <c r="A833" s="7" t="s">
        <v>1565</v>
      </c>
      <c r="B833" s="7" t="s">
        <v>1566</v>
      </c>
      <c r="C833" s="8" t="s">
        <v>56</v>
      </c>
      <c r="D833" s="8" t="s">
        <v>57</v>
      </c>
      <c r="E833" s="8">
        <v>94.2</v>
      </c>
      <c r="F833" s="8">
        <v>7.7</v>
      </c>
      <c r="G833" s="8">
        <v>87</v>
      </c>
      <c r="H833" s="7">
        <f t="shared" si="36"/>
        <v>86.2</v>
      </c>
      <c r="I833" s="7" t="str">
        <f t="shared" si="37"/>
        <v>PASS</v>
      </c>
      <c r="J833" s="7" t="str">
        <f t="shared" si="38"/>
        <v>Low Risk</v>
      </c>
      <c r="L833" s="7" t="str">
        <f>IF(J833="High Risk",COUNTIF($J$3:J833,"High Risk"),"")</f>
        <v/>
      </c>
      <c r="M833" s="7">
        <f>RANK(H833,$H$3:$H$1002,0)+COUNTIF($H$3:H833,H833)-1</f>
        <v>153</v>
      </c>
    </row>
    <row r="834" spans="1:13" x14ac:dyDescent="0.35">
      <c r="A834" s="7" t="s">
        <v>1567</v>
      </c>
      <c r="B834" s="7" t="s">
        <v>1545</v>
      </c>
      <c r="C834" s="8" t="s">
        <v>56</v>
      </c>
      <c r="D834" s="8" t="s">
        <v>57</v>
      </c>
      <c r="E834" s="8">
        <v>76.099999999999994</v>
      </c>
      <c r="F834" s="8">
        <v>3.5</v>
      </c>
      <c r="G834" s="8">
        <v>66</v>
      </c>
      <c r="H834" s="7">
        <f t="shared" si="36"/>
        <v>59.7</v>
      </c>
      <c r="I834" s="7" t="str">
        <f t="shared" si="37"/>
        <v>PASS</v>
      </c>
      <c r="J834" s="7" t="str">
        <f t="shared" si="38"/>
        <v>Medium Risk</v>
      </c>
      <c r="L834" s="7" t="str">
        <f>IF(J834="High Risk",COUNTIF($J$3:J834,"High Risk"),"")</f>
        <v/>
      </c>
      <c r="M834" s="7">
        <f>RANK(H834,$H$3:$H$1002,0)+COUNTIF($H$3:H834,H834)-1</f>
        <v>630</v>
      </c>
    </row>
    <row r="835" spans="1:13" x14ac:dyDescent="0.35">
      <c r="A835" s="7" t="s">
        <v>1568</v>
      </c>
      <c r="B835" s="7" t="s">
        <v>1569</v>
      </c>
      <c r="C835" s="8" t="s">
        <v>56</v>
      </c>
      <c r="D835" s="8" t="s">
        <v>57</v>
      </c>
      <c r="E835" s="8">
        <v>100</v>
      </c>
      <c r="F835" s="8">
        <v>12.2</v>
      </c>
      <c r="G835" s="8">
        <v>82</v>
      </c>
      <c r="H835" s="7">
        <f t="shared" ref="H835:H898" si="39">ROUND(0.4*G835+0.3*E835+0.3*MIN(F835/10,1)*100,1)</f>
        <v>92.8</v>
      </c>
      <c r="I835" s="7" t="str">
        <f t="shared" ref="I835:I898" si="40">IF(H835&gt;=50,"PASS","FAIL")</f>
        <v>PASS</v>
      </c>
      <c r="J835" s="7" t="str">
        <f t="shared" ref="J835:J898" si="41">IF(H835&lt;50,"High Risk",IF(H835&lt;65,"Medium Risk","Low Risk"))</f>
        <v>Low Risk</v>
      </c>
      <c r="L835" s="7" t="str">
        <f>IF(J835="High Risk",COUNTIF($J$3:J835,"High Risk"),"")</f>
        <v/>
      </c>
      <c r="M835" s="7">
        <f>RANK(H835,$H$3:$H$1002,0)+COUNTIF($H$3:H835,H835)-1</f>
        <v>76</v>
      </c>
    </row>
    <row r="836" spans="1:13" x14ac:dyDescent="0.35">
      <c r="A836" s="7" t="s">
        <v>1570</v>
      </c>
      <c r="B836" s="7" t="s">
        <v>1571</v>
      </c>
      <c r="C836" s="8" t="s">
        <v>62</v>
      </c>
      <c r="D836" s="8" t="s">
        <v>68</v>
      </c>
      <c r="E836" s="8">
        <v>55.2</v>
      </c>
      <c r="F836" s="8">
        <v>2.2000000000000002</v>
      </c>
      <c r="G836" s="8">
        <v>43</v>
      </c>
      <c r="H836" s="7">
        <f t="shared" si="39"/>
        <v>40.4</v>
      </c>
      <c r="I836" s="7" t="str">
        <f t="shared" si="40"/>
        <v>FAIL</v>
      </c>
      <c r="J836" s="7" t="str">
        <f t="shared" si="41"/>
        <v>High Risk</v>
      </c>
      <c r="L836" s="7">
        <f>IF(J836="High Risk",COUNTIF($J$3:J836,"High Risk"),"")</f>
        <v>164</v>
      </c>
      <c r="M836" s="7">
        <f>RANK(H836,$H$3:$H$1002,0)+COUNTIF($H$3:H836,H836)-1</f>
        <v>901</v>
      </c>
    </row>
    <row r="837" spans="1:13" x14ac:dyDescent="0.35">
      <c r="A837" s="7" t="s">
        <v>1572</v>
      </c>
      <c r="B837" s="7" t="s">
        <v>377</v>
      </c>
      <c r="C837" s="8" t="s">
        <v>62</v>
      </c>
      <c r="D837" s="8" t="s">
        <v>63</v>
      </c>
      <c r="E837" s="8">
        <v>70.099999999999994</v>
      </c>
      <c r="F837" s="8">
        <v>8.6999999999999993</v>
      </c>
      <c r="G837" s="8">
        <v>69</v>
      </c>
      <c r="H837" s="7">
        <f t="shared" si="39"/>
        <v>74.7</v>
      </c>
      <c r="I837" s="7" t="str">
        <f t="shared" si="40"/>
        <v>PASS</v>
      </c>
      <c r="J837" s="7" t="str">
        <f t="shared" si="41"/>
        <v>Low Risk</v>
      </c>
      <c r="L837" s="7" t="str">
        <f>IF(J837="High Risk",COUNTIF($J$3:J837,"High Risk"),"")</f>
        <v/>
      </c>
      <c r="M837" s="7">
        <f>RANK(H837,$H$3:$H$1002,0)+COUNTIF($H$3:H837,H837)-1</f>
        <v>329</v>
      </c>
    </row>
    <row r="838" spans="1:13" x14ac:dyDescent="0.35">
      <c r="A838" s="7" t="s">
        <v>1573</v>
      </c>
      <c r="B838" s="7" t="s">
        <v>1574</v>
      </c>
      <c r="C838" s="8" t="s">
        <v>56</v>
      </c>
      <c r="D838" s="8" t="s">
        <v>68</v>
      </c>
      <c r="E838" s="8">
        <v>94.9</v>
      </c>
      <c r="F838" s="8">
        <v>7.4</v>
      </c>
      <c r="G838" s="8">
        <v>84</v>
      </c>
      <c r="H838" s="7">
        <f t="shared" si="39"/>
        <v>84.3</v>
      </c>
      <c r="I838" s="7" t="str">
        <f t="shared" si="40"/>
        <v>PASS</v>
      </c>
      <c r="J838" s="7" t="str">
        <f t="shared" si="41"/>
        <v>Low Risk</v>
      </c>
      <c r="L838" s="7" t="str">
        <f>IF(J838="High Risk",COUNTIF($J$3:J838,"High Risk"),"")</f>
        <v/>
      </c>
      <c r="M838" s="7">
        <f>RANK(H838,$H$3:$H$1002,0)+COUNTIF($H$3:H838,H838)-1</f>
        <v>177</v>
      </c>
    </row>
    <row r="839" spans="1:13" x14ac:dyDescent="0.35">
      <c r="A839" s="7" t="s">
        <v>1575</v>
      </c>
      <c r="B839" s="7" t="s">
        <v>691</v>
      </c>
      <c r="C839" s="8" t="s">
        <v>56</v>
      </c>
      <c r="D839" s="8" t="s">
        <v>57</v>
      </c>
      <c r="E839" s="8">
        <v>99.1</v>
      </c>
      <c r="F839" s="8">
        <v>8.3000000000000007</v>
      </c>
      <c r="G839" s="8">
        <v>83</v>
      </c>
      <c r="H839" s="7">
        <f t="shared" si="39"/>
        <v>87.8</v>
      </c>
      <c r="I839" s="7" t="str">
        <f t="shared" si="40"/>
        <v>PASS</v>
      </c>
      <c r="J839" s="7" t="str">
        <f t="shared" si="41"/>
        <v>Low Risk</v>
      </c>
      <c r="L839" s="7" t="str">
        <f>IF(J839="High Risk",COUNTIF($J$3:J839,"High Risk"),"")</f>
        <v/>
      </c>
      <c r="M839" s="7">
        <f>RANK(H839,$H$3:$H$1002,0)+COUNTIF($H$3:H839,H839)-1</f>
        <v>129</v>
      </c>
    </row>
    <row r="840" spans="1:13" x14ac:dyDescent="0.35">
      <c r="A840" s="7" t="s">
        <v>1576</v>
      </c>
      <c r="B840" s="7" t="s">
        <v>1577</v>
      </c>
      <c r="C840" s="8" t="s">
        <v>62</v>
      </c>
      <c r="D840" s="8" t="s">
        <v>57</v>
      </c>
      <c r="E840" s="8">
        <v>78.400000000000006</v>
      </c>
      <c r="F840" s="8">
        <v>12.9</v>
      </c>
      <c r="G840" s="8">
        <v>73</v>
      </c>
      <c r="H840" s="7">
        <f t="shared" si="39"/>
        <v>82.7</v>
      </c>
      <c r="I840" s="7" t="str">
        <f t="shared" si="40"/>
        <v>PASS</v>
      </c>
      <c r="J840" s="7" t="str">
        <f t="shared" si="41"/>
        <v>Low Risk</v>
      </c>
      <c r="L840" s="7" t="str">
        <f>IF(J840="High Risk",COUNTIF($J$3:J840,"High Risk"),"")</f>
        <v/>
      </c>
      <c r="M840" s="7">
        <f>RANK(H840,$H$3:$H$1002,0)+COUNTIF($H$3:H840,H840)-1</f>
        <v>204</v>
      </c>
    </row>
    <row r="841" spans="1:13" x14ac:dyDescent="0.35">
      <c r="A841" s="7" t="s">
        <v>1578</v>
      </c>
      <c r="B841" s="7" t="s">
        <v>1579</v>
      </c>
      <c r="C841" s="8" t="s">
        <v>62</v>
      </c>
      <c r="D841" s="8" t="s">
        <v>75</v>
      </c>
      <c r="E841" s="8">
        <v>34.799999999999997</v>
      </c>
      <c r="F841" s="8">
        <v>2.7</v>
      </c>
      <c r="G841" s="8">
        <v>33</v>
      </c>
      <c r="H841" s="7">
        <f t="shared" si="39"/>
        <v>31.7</v>
      </c>
      <c r="I841" s="7" t="str">
        <f t="shared" si="40"/>
        <v>FAIL</v>
      </c>
      <c r="J841" s="7" t="str">
        <f t="shared" si="41"/>
        <v>High Risk</v>
      </c>
      <c r="L841" s="7">
        <f>IF(J841="High Risk",COUNTIF($J$3:J841,"High Risk"),"")</f>
        <v>165</v>
      </c>
      <c r="M841" s="7">
        <f>RANK(H841,$H$3:$H$1002,0)+COUNTIF($H$3:H841,H841)-1</f>
        <v>958</v>
      </c>
    </row>
    <row r="842" spans="1:13" x14ac:dyDescent="0.35">
      <c r="A842" s="7" t="s">
        <v>1580</v>
      </c>
      <c r="B842" s="7" t="s">
        <v>1060</v>
      </c>
      <c r="C842" s="8" t="s">
        <v>56</v>
      </c>
      <c r="D842" s="8" t="s">
        <v>75</v>
      </c>
      <c r="E842" s="8">
        <v>74</v>
      </c>
      <c r="F842" s="8">
        <v>4.8</v>
      </c>
      <c r="G842" s="8">
        <v>68</v>
      </c>
      <c r="H842" s="7">
        <f t="shared" si="39"/>
        <v>63.8</v>
      </c>
      <c r="I842" s="7" t="str">
        <f t="shared" si="40"/>
        <v>PASS</v>
      </c>
      <c r="J842" s="7" t="str">
        <f t="shared" si="41"/>
        <v>Medium Risk</v>
      </c>
      <c r="L842" s="7" t="str">
        <f>IF(J842="High Risk",COUNTIF($J$3:J842,"High Risk"),"")</f>
        <v/>
      </c>
      <c r="M842" s="7">
        <f>RANK(H842,$H$3:$H$1002,0)+COUNTIF($H$3:H842,H842)-1</f>
        <v>554</v>
      </c>
    </row>
    <row r="843" spans="1:13" x14ac:dyDescent="0.35">
      <c r="A843" s="7" t="s">
        <v>1581</v>
      </c>
      <c r="B843" s="7" t="s">
        <v>301</v>
      </c>
      <c r="C843" s="8" t="s">
        <v>62</v>
      </c>
      <c r="D843" s="8" t="s">
        <v>57</v>
      </c>
      <c r="E843" s="8">
        <v>64.2</v>
      </c>
      <c r="F843" s="8">
        <v>8.9</v>
      </c>
      <c r="G843" s="8">
        <v>62</v>
      </c>
      <c r="H843" s="7">
        <f t="shared" si="39"/>
        <v>70.8</v>
      </c>
      <c r="I843" s="7" t="str">
        <f t="shared" si="40"/>
        <v>PASS</v>
      </c>
      <c r="J843" s="7" t="str">
        <f t="shared" si="41"/>
        <v>Low Risk</v>
      </c>
      <c r="L843" s="7" t="str">
        <f>IF(J843="High Risk",COUNTIF($J$3:J843,"High Risk"),"")</f>
        <v/>
      </c>
      <c r="M843" s="7">
        <f>RANK(H843,$H$3:$H$1002,0)+COUNTIF($H$3:H843,H843)-1</f>
        <v>415</v>
      </c>
    </row>
    <row r="844" spans="1:13" x14ac:dyDescent="0.35">
      <c r="A844" s="7" t="s">
        <v>1582</v>
      </c>
      <c r="B844" s="7" t="s">
        <v>1538</v>
      </c>
      <c r="C844" s="8" t="s">
        <v>62</v>
      </c>
      <c r="D844" s="8" t="s">
        <v>63</v>
      </c>
      <c r="E844" s="8">
        <v>86.7</v>
      </c>
      <c r="F844" s="8">
        <v>6.3</v>
      </c>
      <c r="G844" s="8">
        <v>91</v>
      </c>
      <c r="H844" s="7">
        <f t="shared" si="39"/>
        <v>81.3</v>
      </c>
      <c r="I844" s="7" t="str">
        <f t="shared" si="40"/>
        <v>PASS</v>
      </c>
      <c r="J844" s="7" t="str">
        <f t="shared" si="41"/>
        <v>Low Risk</v>
      </c>
      <c r="L844" s="7" t="str">
        <f>IF(J844="High Risk",COUNTIF($J$3:J844,"High Risk"),"")</f>
        <v/>
      </c>
      <c r="M844" s="7">
        <f>RANK(H844,$H$3:$H$1002,0)+COUNTIF($H$3:H844,H844)-1</f>
        <v>228</v>
      </c>
    </row>
    <row r="845" spans="1:13" x14ac:dyDescent="0.35">
      <c r="A845" s="7" t="s">
        <v>1583</v>
      </c>
      <c r="B845" s="7" t="s">
        <v>819</v>
      </c>
      <c r="C845" s="8" t="s">
        <v>56</v>
      </c>
      <c r="D845" s="8" t="s">
        <v>75</v>
      </c>
      <c r="E845" s="8">
        <v>92.5</v>
      </c>
      <c r="F845" s="8">
        <v>6.9</v>
      </c>
      <c r="G845" s="8">
        <v>97</v>
      </c>
      <c r="H845" s="7">
        <f t="shared" si="39"/>
        <v>87.3</v>
      </c>
      <c r="I845" s="7" t="str">
        <f t="shared" si="40"/>
        <v>PASS</v>
      </c>
      <c r="J845" s="7" t="str">
        <f t="shared" si="41"/>
        <v>Low Risk</v>
      </c>
      <c r="L845" s="7" t="str">
        <f>IF(J845="High Risk",COUNTIF($J$3:J845,"High Risk"),"")</f>
        <v/>
      </c>
      <c r="M845" s="7">
        <f>RANK(H845,$H$3:$H$1002,0)+COUNTIF($H$3:H845,H845)-1</f>
        <v>137</v>
      </c>
    </row>
    <row r="846" spans="1:13" x14ac:dyDescent="0.35">
      <c r="A846" s="7" t="s">
        <v>1584</v>
      </c>
      <c r="B846" s="7" t="s">
        <v>1585</v>
      </c>
      <c r="C846" s="8" t="s">
        <v>62</v>
      </c>
      <c r="D846" s="8" t="s">
        <v>75</v>
      </c>
      <c r="E846" s="8">
        <v>84.1</v>
      </c>
      <c r="F846" s="8">
        <v>5.6</v>
      </c>
      <c r="G846" s="8">
        <v>75</v>
      </c>
      <c r="H846" s="7">
        <f t="shared" si="39"/>
        <v>72</v>
      </c>
      <c r="I846" s="7" t="str">
        <f t="shared" si="40"/>
        <v>PASS</v>
      </c>
      <c r="J846" s="7" t="str">
        <f t="shared" si="41"/>
        <v>Low Risk</v>
      </c>
      <c r="L846" s="7" t="str">
        <f>IF(J846="High Risk",COUNTIF($J$3:J846,"High Risk"),"")</f>
        <v/>
      </c>
      <c r="M846" s="7">
        <f>RANK(H846,$H$3:$H$1002,0)+COUNTIF($H$3:H846,H846)-1</f>
        <v>385</v>
      </c>
    </row>
    <row r="847" spans="1:13" x14ac:dyDescent="0.35">
      <c r="A847" s="7" t="s">
        <v>1586</v>
      </c>
      <c r="B847" s="7" t="s">
        <v>1587</v>
      </c>
      <c r="C847" s="8" t="s">
        <v>56</v>
      </c>
      <c r="D847" s="8" t="s">
        <v>68</v>
      </c>
      <c r="E847" s="8">
        <v>79.7</v>
      </c>
      <c r="F847" s="8">
        <v>6</v>
      </c>
      <c r="G847" s="8">
        <v>55</v>
      </c>
      <c r="H847" s="7">
        <f t="shared" si="39"/>
        <v>63.9</v>
      </c>
      <c r="I847" s="7" t="str">
        <f t="shared" si="40"/>
        <v>PASS</v>
      </c>
      <c r="J847" s="7" t="str">
        <f t="shared" si="41"/>
        <v>Medium Risk</v>
      </c>
      <c r="L847" s="7" t="str">
        <f>IF(J847="High Risk",COUNTIF($J$3:J847,"High Risk"),"")</f>
        <v/>
      </c>
      <c r="M847" s="7">
        <f>RANK(H847,$H$3:$H$1002,0)+COUNTIF($H$3:H847,H847)-1</f>
        <v>551</v>
      </c>
    </row>
    <row r="848" spans="1:13" x14ac:dyDescent="0.35">
      <c r="A848" s="7" t="s">
        <v>1588</v>
      </c>
      <c r="B848" s="7" t="s">
        <v>229</v>
      </c>
      <c r="C848" s="8" t="s">
        <v>62</v>
      </c>
      <c r="D848" s="8" t="s">
        <v>63</v>
      </c>
      <c r="E848" s="8">
        <v>93.2</v>
      </c>
      <c r="F848" s="8">
        <v>7.6</v>
      </c>
      <c r="G848" s="8">
        <v>74</v>
      </c>
      <c r="H848" s="7">
        <f t="shared" si="39"/>
        <v>80.400000000000006</v>
      </c>
      <c r="I848" s="7" t="str">
        <f t="shared" si="40"/>
        <v>PASS</v>
      </c>
      <c r="J848" s="7" t="str">
        <f t="shared" si="41"/>
        <v>Low Risk</v>
      </c>
      <c r="L848" s="7" t="str">
        <f>IF(J848="High Risk",COUNTIF($J$3:J848,"High Risk"),"")</f>
        <v/>
      </c>
      <c r="M848" s="7">
        <f>RANK(H848,$H$3:$H$1002,0)+COUNTIF($H$3:H848,H848)-1</f>
        <v>238</v>
      </c>
    </row>
    <row r="849" spans="1:13" x14ac:dyDescent="0.35">
      <c r="A849" s="7" t="s">
        <v>1589</v>
      </c>
      <c r="B849" s="7" t="s">
        <v>1219</v>
      </c>
      <c r="C849" s="8" t="s">
        <v>62</v>
      </c>
      <c r="D849" s="8" t="s">
        <v>63</v>
      </c>
      <c r="E849" s="8">
        <v>77.7</v>
      </c>
      <c r="F849" s="8">
        <v>7.8</v>
      </c>
      <c r="G849" s="8">
        <v>57</v>
      </c>
      <c r="H849" s="7">
        <f t="shared" si="39"/>
        <v>69.5</v>
      </c>
      <c r="I849" s="7" t="str">
        <f t="shared" si="40"/>
        <v>PASS</v>
      </c>
      <c r="J849" s="7" t="str">
        <f t="shared" si="41"/>
        <v>Low Risk</v>
      </c>
      <c r="L849" s="7" t="str">
        <f>IF(J849="High Risk",COUNTIF($J$3:J849,"High Risk"),"")</f>
        <v/>
      </c>
      <c r="M849" s="7">
        <f>RANK(H849,$H$3:$H$1002,0)+COUNTIF($H$3:H849,H849)-1</f>
        <v>445</v>
      </c>
    </row>
    <row r="850" spans="1:13" x14ac:dyDescent="0.35">
      <c r="A850" s="7" t="s">
        <v>1590</v>
      </c>
      <c r="B850" s="7" t="s">
        <v>887</v>
      </c>
      <c r="C850" s="8" t="s">
        <v>56</v>
      </c>
      <c r="D850" s="8" t="s">
        <v>57</v>
      </c>
      <c r="E850" s="8">
        <v>80.5</v>
      </c>
      <c r="F850" s="8">
        <v>6.9</v>
      </c>
      <c r="G850" s="8">
        <v>61</v>
      </c>
      <c r="H850" s="7">
        <f t="shared" si="39"/>
        <v>69.3</v>
      </c>
      <c r="I850" s="7" t="str">
        <f t="shared" si="40"/>
        <v>PASS</v>
      </c>
      <c r="J850" s="7" t="str">
        <f t="shared" si="41"/>
        <v>Low Risk</v>
      </c>
      <c r="L850" s="7" t="str">
        <f>IF(J850="High Risk",COUNTIF($J$3:J850,"High Risk"),"")</f>
        <v/>
      </c>
      <c r="M850" s="7">
        <f>RANK(H850,$H$3:$H$1002,0)+COUNTIF($H$3:H850,H850)-1</f>
        <v>447</v>
      </c>
    </row>
    <row r="851" spans="1:13" x14ac:dyDescent="0.35">
      <c r="A851" s="7" t="s">
        <v>1591</v>
      </c>
      <c r="B851" s="7" t="s">
        <v>1592</v>
      </c>
      <c r="C851" s="8" t="s">
        <v>62</v>
      </c>
      <c r="D851" s="8" t="s">
        <v>63</v>
      </c>
      <c r="E851" s="8">
        <v>54</v>
      </c>
      <c r="F851" s="8">
        <v>3.8</v>
      </c>
      <c r="G851" s="8">
        <v>48</v>
      </c>
      <c r="H851" s="7">
        <f t="shared" si="39"/>
        <v>46.8</v>
      </c>
      <c r="I851" s="7" t="str">
        <f t="shared" si="40"/>
        <v>FAIL</v>
      </c>
      <c r="J851" s="7" t="str">
        <f t="shared" si="41"/>
        <v>High Risk</v>
      </c>
      <c r="L851" s="7">
        <f>IF(J851="High Risk",COUNTIF($J$3:J851,"High Risk"),"")</f>
        <v>166</v>
      </c>
      <c r="M851" s="7">
        <f>RANK(H851,$H$3:$H$1002,0)+COUNTIF($H$3:H851,H851)-1</f>
        <v>840</v>
      </c>
    </row>
    <row r="852" spans="1:13" x14ac:dyDescent="0.35">
      <c r="A852" s="7" t="s">
        <v>1593</v>
      </c>
      <c r="B852" s="7" t="s">
        <v>429</v>
      </c>
      <c r="C852" s="8" t="s">
        <v>56</v>
      </c>
      <c r="D852" s="8" t="s">
        <v>57</v>
      </c>
      <c r="E852" s="8">
        <v>89.8</v>
      </c>
      <c r="F852" s="8">
        <v>8.6999999999999993</v>
      </c>
      <c r="G852" s="8">
        <v>75</v>
      </c>
      <c r="H852" s="7">
        <f t="shared" si="39"/>
        <v>83</v>
      </c>
      <c r="I852" s="7" t="str">
        <f t="shared" si="40"/>
        <v>PASS</v>
      </c>
      <c r="J852" s="7" t="str">
        <f t="shared" si="41"/>
        <v>Low Risk</v>
      </c>
      <c r="L852" s="7" t="str">
        <f>IF(J852="High Risk",COUNTIF($J$3:J852,"High Risk"),"")</f>
        <v/>
      </c>
      <c r="M852" s="7">
        <f>RANK(H852,$H$3:$H$1002,0)+COUNTIF($H$3:H852,H852)-1</f>
        <v>197</v>
      </c>
    </row>
    <row r="853" spans="1:13" x14ac:dyDescent="0.35">
      <c r="A853" s="7" t="s">
        <v>1594</v>
      </c>
      <c r="B853" s="7" t="s">
        <v>616</v>
      </c>
      <c r="C853" s="8" t="s">
        <v>56</v>
      </c>
      <c r="D853" s="8" t="s">
        <v>75</v>
      </c>
      <c r="E853" s="8">
        <v>35.4</v>
      </c>
      <c r="F853" s="8">
        <v>3.3</v>
      </c>
      <c r="G853" s="8">
        <v>42</v>
      </c>
      <c r="H853" s="7">
        <f t="shared" si="39"/>
        <v>37.299999999999997</v>
      </c>
      <c r="I853" s="7" t="str">
        <f t="shared" si="40"/>
        <v>FAIL</v>
      </c>
      <c r="J853" s="7" t="str">
        <f t="shared" si="41"/>
        <v>High Risk</v>
      </c>
      <c r="L853" s="7">
        <f>IF(J853="High Risk",COUNTIF($J$3:J853,"High Risk"),"")</f>
        <v>167</v>
      </c>
      <c r="M853" s="7">
        <f>RANK(H853,$H$3:$H$1002,0)+COUNTIF($H$3:H853,H853)-1</f>
        <v>929</v>
      </c>
    </row>
    <row r="854" spans="1:13" x14ac:dyDescent="0.35">
      <c r="A854" s="7" t="s">
        <v>1595</v>
      </c>
      <c r="B854" s="7" t="s">
        <v>536</v>
      </c>
      <c r="C854" s="8" t="s">
        <v>56</v>
      </c>
      <c r="D854" s="8" t="s">
        <v>63</v>
      </c>
      <c r="E854" s="8">
        <v>81</v>
      </c>
      <c r="F854" s="8">
        <v>6.5</v>
      </c>
      <c r="G854" s="8">
        <v>59</v>
      </c>
      <c r="H854" s="7">
        <f t="shared" si="39"/>
        <v>67.400000000000006</v>
      </c>
      <c r="I854" s="7" t="str">
        <f t="shared" si="40"/>
        <v>PASS</v>
      </c>
      <c r="J854" s="7" t="str">
        <f t="shared" si="41"/>
        <v>Low Risk</v>
      </c>
      <c r="L854" s="7" t="str">
        <f>IF(J854="High Risk",COUNTIF($J$3:J854,"High Risk"),"")</f>
        <v/>
      </c>
      <c r="M854" s="7">
        <f>RANK(H854,$H$3:$H$1002,0)+COUNTIF($H$3:H854,H854)-1</f>
        <v>489</v>
      </c>
    </row>
    <row r="855" spans="1:13" x14ac:dyDescent="0.35">
      <c r="A855" s="7" t="s">
        <v>1596</v>
      </c>
      <c r="B855" s="7" t="s">
        <v>1597</v>
      </c>
      <c r="C855" s="8" t="s">
        <v>62</v>
      </c>
      <c r="D855" s="8" t="s">
        <v>63</v>
      </c>
      <c r="E855" s="8">
        <v>79.400000000000006</v>
      </c>
      <c r="F855" s="8">
        <v>4.5</v>
      </c>
      <c r="G855" s="8">
        <v>55</v>
      </c>
      <c r="H855" s="7">
        <f t="shared" si="39"/>
        <v>59.3</v>
      </c>
      <c r="I855" s="7" t="str">
        <f t="shared" si="40"/>
        <v>PASS</v>
      </c>
      <c r="J855" s="7" t="str">
        <f t="shared" si="41"/>
        <v>Medium Risk</v>
      </c>
      <c r="L855" s="7" t="str">
        <f>IF(J855="High Risk",COUNTIF($J$3:J855,"High Risk"),"")</f>
        <v/>
      </c>
      <c r="M855" s="7">
        <f>RANK(H855,$H$3:$H$1002,0)+COUNTIF($H$3:H855,H855)-1</f>
        <v>637</v>
      </c>
    </row>
    <row r="856" spans="1:13" x14ac:dyDescent="0.35">
      <c r="A856" s="7" t="s">
        <v>1598</v>
      </c>
      <c r="B856" s="7" t="s">
        <v>1119</v>
      </c>
      <c r="C856" s="8" t="s">
        <v>62</v>
      </c>
      <c r="D856" s="8" t="s">
        <v>57</v>
      </c>
      <c r="E856" s="8">
        <v>59.7</v>
      </c>
      <c r="F856" s="8">
        <v>2</v>
      </c>
      <c r="G856" s="8">
        <v>51</v>
      </c>
      <c r="H856" s="7">
        <f t="shared" si="39"/>
        <v>44.3</v>
      </c>
      <c r="I856" s="7" t="str">
        <f t="shared" si="40"/>
        <v>FAIL</v>
      </c>
      <c r="J856" s="7" t="str">
        <f t="shared" si="41"/>
        <v>High Risk</v>
      </c>
      <c r="L856" s="7">
        <f>IF(J856="High Risk",COUNTIF($J$3:J856,"High Risk"),"")</f>
        <v>168</v>
      </c>
      <c r="M856" s="7">
        <f>RANK(H856,$H$3:$H$1002,0)+COUNTIF($H$3:H856,H856)-1</f>
        <v>861</v>
      </c>
    </row>
    <row r="857" spans="1:13" x14ac:dyDescent="0.35">
      <c r="A857" s="7" t="s">
        <v>1599</v>
      </c>
      <c r="B857" s="7" t="s">
        <v>1137</v>
      </c>
      <c r="C857" s="8" t="s">
        <v>56</v>
      </c>
      <c r="D857" s="8" t="s">
        <v>57</v>
      </c>
      <c r="E857" s="8">
        <v>81.8</v>
      </c>
      <c r="F857" s="8">
        <v>8.3000000000000007</v>
      </c>
      <c r="G857" s="8">
        <v>61</v>
      </c>
      <c r="H857" s="7">
        <f t="shared" si="39"/>
        <v>73.8</v>
      </c>
      <c r="I857" s="7" t="str">
        <f t="shared" si="40"/>
        <v>PASS</v>
      </c>
      <c r="J857" s="7" t="str">
        <f t="shared" si="41"/>
        <v>Low Risk</v>
      </c>
      <c r="L857" s="7" t="str">
        <f>IF(J857="High Risk",COUNTIF($J$3:J857,"High Risk"),"")</f>
        <v/>
      </c>
      <c r="M857" s="7">
        <f>RANK(H857,$H$3:$H$1002,0)+COUNTIF($H$3:H857,H857)-1</f>
        <v>344</v>
      </c>
    </row>
    <row r="858" spans="1:13" x14ac:dyDescent="0.35">
      <c r="A858" s="7" t="s">
        <v>1600</v>
      </c>
      <c r="B858" s="7" t="s">
        <v>361</v>
      </c>
      <c r="C858" s="8" t="s">
        <v>56</v>
      </c>
      <c r="D858" s="8" t="s">
        <v>68</v>
      </c>
      <c r="E858" s="8">
        <v>83.8</v>
      </c>
      <c r="F858" s="8">
        <v>8.6</v>
      </c>
      <c r="G858" s="8">
        <v>72</v>
      </c>
      <c r="H858" s="7">
        <f t="shared" si="39"/>
        <v>79.7</v>
      </c>
      <c r="I858" s="7" t="str">
        <f t="shared" si="40"/>
        <v>PASS</v>
      </c>
      <c r="J858" s="7" t="str">
        <f t="shared" si="41"/>
        <v>Low Risk</v>
      </c>
      <c r="L858" s="7" t="str">
        <f>IF(J858="High Risk",COUNTIF($J$3:J858,"High Risk"),"")</f>
        <v/>
      </c>
      <c r="M858" s="7">
        <f>RANK(H858,$H$3:$H$1002,0)+COUNTIF($H$3:H858,H858)-1</f>
        <v>254</v>
      </c>
    </row>
    <row r="859" spans="1:13" x14ac:dyDescent="0.35">
      <c r="A859" s="7" t="s">
        <v>1601</v>
      </c>
      <c r="B859" s="7" t="s">
        <v>1602</v>
      </c>
      <c r="C859" s="8" t="s">
        <v>62</v>
      </c>
      <c r="D859" s="8" t="s">
        <v>75</v>
      </c>
      <c r="E859" s="8">
        <v>92.4</v>
      </c>
      <c r="F859" s="8">
        <v>10.1</v>
      </c>
      <c r="G859" s="8">
        <v>82</v>
      </c>
      <c r="H859" s="7">
        <f t="shared" si="39"/>
        <v>90.5</v>
      </c>
      <c r="I859" s="7" t="str">
        <f t="shared" si="40"/>
        <v>PASS</v>
      </c>
      <c r="J859" s="7" t="str">
        <f t="shared" si="41"/>
        <v>Low Risk</v>
      </c>
      <c r="L859" s="7" t="str">
        <f>IF(J859="High Risk",COUNTIF($J$3:J859,"High Risk"),"")</f>
        <v/>
      </c>
      <c r="M859" s="7">
        <f>RANK(H859,$H$3:$H$1002,0)+COUNTIF($H$3:H859,H859)-1</f>
        <v>102</v>
      </c>
    </row>
    <row r="860" spans="1:13" x14ac:dyDescent="0.35">
      <c r="A860" s="7" t="s">
        <v>1603</v>
      </c>
      <c r="B860" s="7" t="s">
        <v>1604</v>
      </c>
      <c r="C860" s="8" t="s">
        <v>62</v>
      </c>
      <c r="D860" s="8" t="s">
        <v>68</v>
      </c>
      <c r="E860" s="8">
        <v>95.6</v>
      </c>
      <c r="F860" s="8">
        <v>7.7</v>
      </c>
      <c r="G860" s="8">
        <v>74</v>
      </c>
      <c r="H860" s="7">
        <f t="shared" si="39"/>
        <v>81.400000000000006</v>
      </c>
      <c r="I860" s="7" t="str">
        <f t="shared" si="40"/>
        <v>PASS</v>
      </c>
      <c r="J860" s="7" t="str">
        <f t="shared" si="41"/>
        <v>Low Risk</v>
      </c>
      <c r="L860" s="7" t="str">
        <f>IF(J860="High Risk",COUNTIF($J$3:J860,"High Risk"),"")</f>
        <v/>
      </c>
      <c r="M860" s="7">
        <f>RANK(H860,$H$3:$H$1002,0)+COUNTIF($H$3:H860,H860)-1</f>
        <v>226</v>
      </c>
    </row>
    <row r="861" spans="1:13" x14ac:dyDescent="0.35">
      <c r="A861" s="7" t="s">
        <v>1605</v>
      </c>
      <c r="B861" s="7" t="s">
        <v>1606</v>
      </c>
      <c r="C861" s="8" t="s">
        <v>56</v>
      </c>
      <c r="D861" s="8" t="s">
        <v>68</v>
      </c>
      <c r="E861" s="8">
        <v>58.5</v>
      </c>
      <c r="F861" s="8">
        <v>2.5</v>
      </c>
      <c r="G861" s="8">
        <v>43</v>
      </c>
      <c r="H861" s="7">
        <f t="shared" si="39"/>
        <v>42.3</v>
      </c>
      <c r="I861" s="7" t="str">
        <f t="shared" si="40"/>
        <v>FAIL</v>
      </c>
      <c r="J861" s="7" t="str">
        <f t="shared" si="41"/>
        <v>High Risk</v>
      </c>
      <c r="L861" s="7">
        <f>IF(J861="High Risk",COUNTIF($J$3:J861,"High Risk"),"")</f>
        <v>169</v>
      </c>
      <c r="M861" s="7">
        <f>RANK(H861,$H$3:$H$1002,0)+COUNTIF($H$3:H861,H861)-1</f>
        <v>881</v>
      </c>
    </row>
    <row r="862" spans="1:13" x14ac:dyDescent="0.35">
      <c r="A862" s="7" t="s">
        <v>1607</v>
      </c>
      <c r="B862" s="7" t="s">
        <v>1468</v>
      </c>
      <c r="C862" s="8" t="s">
        <v>62</v>
      </c>
      <c r="D862" s="8" t="s">
        <v>57</v>
      </c>
      <c r="E862" s="8">
        <v>100</v>
      </c>
      <c r="F862" s="8">
        <v>8.8000000000000007</v>
      </c>
      <c r="G862" s="8">
        <v>86</v>
      </c>
      <c r="H862" s="7">
        <f t="shared" si="39"/>
        <v>90.8</v>
      </c>
      <c r="I862" s="7" t="str">
        <f t="shared" si="40"/>
        <v>PASS</v>
      </c>
      <c r="J862" s="7" t="str">
        <f t="shared" si="41"/>
        <v>Low Risk</v>
      </c>
      <c r="L862" s="7" t="str">
        <f>IF(J862="High Risk",COUNTIF($J$3:J862,"High Risk"),"")</f>
        <v/>
      </c>
      <c r="M862" s="7">
        <f>RANK(H862,$H$3:$H$1002,0)+COUNTIF($H$3:H862,H862)-1</f>
        <v>97</v>
      </c>
    </row>
    <row r="863" spans="1:13" x14ac:dyDescent="0.35">
      <c r="A863" s="7" t="s">
        <v>1608</v>
      </c>
      <c r="B863" s="7" t="s">
        <v>1609</v>
      </c>
      <c r="C863" s="8" t="s">
        <v>56</v>
      </c>
      <c r="D863" s="8" t="s">
        <v>57</v>
      </c>
      <c r="E863" s="8">
        <v>75.400000000000006</v>
      </c>
      <c r="F863" s="8">
        <v>6.6</v>
      </c>
      <c r="G863" s="8">
        <v>66</v>
      </c>
      <c r="H863" s="7">
        <f t="shared" si="39"/>
        <v>68.8</v>
      </c>
      <c r="I863" s="7" t="str">
        <f t="shared" si="40"/>
        <v>PASS</v>
      </c>
      <c r="J863" s="7" t="str">
        <f t="shared" si="41"/>
        <v>Low Risk</v>
      </c>
      <c r="L863" s="7" t="str">
        <f>IF(J863="High Risk",COUNTIF($J$3:J863,"High Risk"),"")</f>
        <v/>
      </c>
      <c r="M863" s="7">
        <f>RANK(H863,$H$3:$H$1002,0)+COUNTIF($H$3:H863,H863)-1</f>
        <v>457</v>
      </c>
    </row>
    <row r="864" spans="1:13" x14ac:dyDescent="0.35">
      <c r="A864" s="7" t="s">
        <v>1610</v>
      </c>
      <c r="B864" s="7" t="s">
        <v>1611</v>
      </c>
      <c r="C864" s="8" t="s">
        <v>56</v>
      </c>
      <c r="D864" s="8" t="s">
        <v>57</v>
      </c>
      <c r="E864" s="8">
        <v>71.5</v>
      </c>
      <c r="F864" s="8">
        <v>7.5</v>
      </c>
      <c r="G864" s="8">
        <v>72</v>
      </c>
      <c r="H864" s="7">
        <f t="shared" si="39"/>
        <v>72.8</v>
      </c>
      <c r="I864" s="7" t="str">
        <f t="shared" si="40"/>
        <v>PASS</v>
      </c>
      <c r="J864" s="7" t="str">
        <f t="shared" si="41"/>
        <v>Low Risk</v>
      </c>
      <c r="L864" s="7" t="str">
        <f>IF(J864="High Risk",COUNTIF($J$3:J864,"High Risk"),"")</f>
        <v/>
      </c>
      <c r="M864" s="7">
        <f>RANK(H864,$H$3:$H$1002,0)+COUNTIF($H$3:H864,H864)-1</f>
        <v>367</v>
      </c>
    </row>
    <row r="865" spans="1:13" x14ac:dyDescent="0.35">
      <c r="A865" s="7" t="s">
        <v>1612</v>
      </c>
      <c r="B865" s="7" t="s">
        <v>314</v>
      </c>
      <c r="C865" s="8" t="s">
        <v>62</v>
      </c>
      <c r="D865" s="8" t="s">
        <v>75</v>
      </c>
      <c r="E865" s="8">
        <v>80</v>
      </c>
      <c r="F865" s="8">
        <v>7.1</v>
      </c>
      <c r="G865" s="8">
        <v>76</v>
      </c>
      <c r="H865" s="7">
        <f t="shared" si="39"/>
        <v>75.7</v>
      </c>
      <c r="I865" s="7" t="str">
        <f t="shared" si="40"/>
        <v>PASS</v>
      </c>
      <c r="J865" s="7" t="str">
        <f t="shared" si="41"/>
        <v>Low Risk</v>
      </c>
      <c r="L865" s="7" t="str">
        <f>IF(J865="High Risk",COUNTIF($J$3:J865,"High Risk"),"")</f>
        <v/>
      </c>
      <c r="M865" s="7">
        <f>RANK(H865,$H$3:$H$1002,0)+COUNTIF($H$3:H865,H865)-1</f>
        <v>312</v>
      </c>
    </row>
    <row r="866" spans="1:13" x14ac:dyDescent="0.35">
      <c r="A866" s="7" t="s">
        <v>1613</v>
      </c>
      <c r="B866" s="7" t="s">
        <v>1614</v>
      </c>
      <c r="C866" s="8" t="s">
        <v>56</v>
      </c>
      <c r="D866" s="8" t="s">
        <v>63</v>
      </c>
      <c r="E866" s="8">
        <v>85.9</v>
      </c>
      <c r="F866" s="8">
        <v>8.3000000000000007</v>
      </c>
      <c r="G866" s="8">
        <v>81</v>
      </c>
      <c r="H866" s="7">
        <f t="shared" si="39"/>
        <v>83.1</v>
      </c>
      <c r="I866" s="7" t="str">
        <f t="shared" si="40"/>
        <v>PASS</v>
      </c>
      <c r="J866" s="7" t="str">
        <f t="shared" si="41"/>
        <v>Low Risk</v>
      </c>
      <c r="L866" s="7" t="str">
        <f>IF(J866="High Risk",COUNTIF($J$3:J866,"High Risk"),"")</f>
        <v/>
      </c>
      <c r="M866" s="7">
        <f>RANK(H866,$H$3:$H$1002,0)+COUNTIF($H$3:H866,H866)-1</f>
        <v>195</v>
      </c>
    </row>
    <row r="867" spans="1:13" x14ac:dyDescent="0.35">
      <c r="A867" s="7" t="s">
        <v>1615</v>
      </c>
      <c r="B867" s="7" t="s">
        <v>1616</v>
      </c>
      <c r="C867" s="8" t="s">
        <v>56</v>
      </c>
      <c r="D867" s="8" t="s">
        <v>68</v>
      </c>
      <c r="E867" s="8">
        <v>93.2</v>
      </c>
      <c r="F867" s="8">
        <v>7.5</v>
      </c>
      <c r="G867" s="8">
        <v>92</v>
      </c>
      <c r="H867" s="7">
        <f t="shared" si="39"/>
        <v>87.3</v>
      </c>
      <c r="I867" s="7" t="str">
        <f t="shared" si="40"/>
        <v>PASS</v>
      </c>
      <c r="J867" s="7" t="str">
        <f t="shared" si="41"/>
        <v>Low Risk</v>
      </c>
      <c r="L867" s="7" t="str">
        <f>IF(J867="High Risk",COUNTIF($J$3:J867,"High Risk"),"")</f>
        <v/>
      </c>
      <c r="M867" s="7">
        <f>RANK(H867,$H$3:$H$1002,0)+COUNTIF($H$3:H867,H867)-1</f>
        <v>138</v>
      </c>
    </row>
    <row r="868" spans="1:13" x14ac:dyDescent="0.35">
      <c r="A868" s="7" t="s">
        <v>1617</v>
      </c>
      <c r="B868" s="7" t="s">
        <v>1618</v>
      </c>
      <c r="C868" s="8" t="s">
        <v>56</v>
      </c>
      <c r="D868" s="8" t="s">
        <v>68</v>
      </c>
      <c r="E868" s="8">
        <v>87.7</v>
      </c>
      <c r="F868" s="8">
        <v>6.1</v>
      </c>
      <c r="G868" s="8">
        <v>74</v>
      </c>
      <c r="H868" s="7">
        <f t="shared" si="39"/>
        <v>74.2</v>
      </c>
      <c r="I868" s="7" t="str">
        <f t="shared" si="40"/>
        <v>PASS</v>
      </c>
      <c r="J868" s="7" t="str">
        <f t="shared" si="41"/>
        <v>Low Risk</v>
      </c>
      <c r="L868" s="7" t="str">
        <f>IF(J868="High Risk",COUNTIF($J$3:J868,"High Risk"),"")</f>
        <v/>
      </c>
      <c r="M868" s="7">
        <f>RANK(H868,$H$3:$H$1002,0)+COUNTIF($H$3:H868,H868)-1</f>
        <v>337</v>
      </c>
    </row>
    <row r="869" spans="1:13" x14ac:dyDescent="0.35">
      <c r="A869" s="7" t="s">
        <v>1619</v>
      </c>
      <c r="B869" s="7" t="s">
        <v>257</v>
      </c>
      <c r="C869" s="8" t="s">
        <v>56</v>
      </c>
      <c r="D869" s="8" t="s">
        <v>63</v>
      </c>
      <c r="E869" s="8">
        <v>76.599999999999994</v>
      </c>
      <c r="F869" s="8">
        <v>2.8</v>
      </c>
      <c r="G869" s="8">
        <v>57</v>
      </c>
      <c r="H869" s="7">
        <f t="shared" si="39"/>
        <v>54.2</v>
      </c>
      <c r="I869" s="7" t="str">
        <f t="shared" si="40"/>
        <v>PASS</v>
      </c>
      <c r="J869" s="7" t="str">
        <f t="shared" si="41"/>
        <v>Medium Risk</v>
      </c>
      <c r="L869" s="7" t="str">
        <f>IF(J869="High Risk",COUNTIF($J$3:J869,"High Risk"),"")</f>
        <v/>
      </c>
      <c r="M869" s="7">
        <f>RANK(H869,$H$3:$H$1002,0)+COUNTIF($H$3:H869,H869)-1</f>
        <v>730</v>
      </c>
    </row>
    <row r="870" spans="1:13" x14ac:dyDescent="0.35">
      <c r="A870" s="7" t="s">
        <v>1620</v>
      </c>
      <c r="B870" s="7" t="s">
        <v>1621</v>
      </c>
      <c r="C870" s="8" t="s">
        <v>62</v>
      </c>
      <c r="D870" s="8" t="s">
        <v>63</v>
      </c>
      <c r="E870" s="8">
        <v>89.7</v>
      </c>
      <c r="F870" s="8">
        <v>9.3000000000000007</v>
      </c>
      <c r="G870" s="8">
        <v>82</v>
      </c>
      <c r="H870" s="7">
        <f t="shared" si="39"/>
        <v>87.6</v>
      </c>
      <c r="I870" s="7" t="str">
        <f t="shared" si="40"/>
        <v>PASS</v>
      </c>
      <c r="J870" s="7" t="str">
        <f t="shared" si="41"/>
        <v>Low Risk</v>
      </c>
      <c r="L870" s="7" t="str">
        <f>IF(J870="High Risk",COUNTIF($J$3:J870,"High Risk"),"")</f>
        <v/>
      </c>
      <c r="M870" s="7">
        <f>RANK(H870,$H$3:$H$1002,0)+COUNTIF($H$3:H870,H870)-1</f>
        <v>133</v>
      </c>
    </row>
    <row r="871" spans="1:13" x14ac:dyDescent="0.35">
      <c r="A871" s="7" t="s">
        <v>1622</v>
      </c>
      <c r="B871" s="7" t="s">
        <v>1623</v>
      </c>
      <c r="C871" s="8" t="s">
        <v>62</v>
      </c>
      <c r="D871" s="8" t="s">
        <v>75</v>
      </c>
      <c r="E871" s="8">
        <v>61.1</v>
      </c>
      <c r="F871" s="8">
        <v>4.8</v>
      </c>
      <c r="G871" s="8">
        <v>50</v>
      </c>
      <c r="H871" s="7">
        <f t="shared" si="39"/>
        <v>52.7</v>
      </c>
      <c r="I871" s="7" t="str">
        <f t="shared" si="40"/>
        <v>PASS</v>
      </c>
      <c r="J871" s="7" t="str">
        <f t="shared" si="41"/>
        <v>Medium Risk</v>
      </c>
      <c r="L871" s="7" t="str">
        <f>IF(J871="High Risk",COUNTIF($J$3:J871,"High Risk"),"")</f>
        <v/>
      </c>
      <c r="M871" s="7">
        <f>RANK(H871,$H$3:$H$1002,0)+COUNTIF($H$3:H871,H871)-1</f>
        <v>760</v>
      </c>
    </row>
    <row r="872" spans="1:13" x14ac:dyDescent="0.35">
      <c r="A872" s="7" t="s">
        <v>1624</v>
      </c>
      <c r="B872" s="7" t="s">
        <v>1625</v>
      </c>
      <c r="C872" s="8" t="s">
        <v>56</v>
      </c>
      <c r="D872" s="8" t="s">
        <v>68</v>
      </c>
      <c r="E872" s="8">
        <v>85.5</v>
      </c>
      <c r="F872" s="8">
        <v>10.9</v>
      </c>
      <c r="G872" s="8">
        <v>79</v>
      </c>
      <c r="H872" s="7">
        <f t="shared" si="39"/>
        <v>87.3</v>
      </c>
      <c r="I872" s="7" t="str">
        <f t="shared" si="40"/>
        <v>PASS</v>
      </c>
      <c r="J872" s="7" t="str">
        <f t="shared" si="41"/>
        <v>Low Risk</v>
      </c>
      <c r="L872" s="7" t="str">
        <f>IF(J872="High Risk",COUNTIF($J$3:J872,"High Risk"),"")</f>
        <v/>
      </c>
      <c r="M872" s="7">
        <f>RANK(H872,$H$3:$H$1002,0)+COUNTIF($H$3:H872,H872)-1</f>
        <v>139</v>
      </c>
    </row>
    <row r="873" spans="1:13" x14ac:dyDescent="0.35">
      <c r="A873" s="7" t="s">
        <v>1626</v>
      </c>
      <c r="B873" s="7" t="s">
        <v>861</v>
      </c>
      <c r="C873" s="8" t="s">
        <v>56</v>
      </c>
      <c r="D873" s="8" t="s">
        <v>75</v>
      </c>
      <c r="E873" s="8">
        <v>68</v>
      </c>
      <c r="F873" s="8">
        <v>3.2</v>
      </c>
      <c r="G873" s="8">
        <v>68</v>
      </c>
      <c r="H873" s="7">
        <f t="shared" si="39"/>
        <v>57.2</v>
      </c>
      <c r="I873" s="7" t="str">
        <f t="shared" si="40"/>
        <v>PASS</v>
      </c>
      <c r="J873" s="7" t="str">
        <f t="shared" si="41"/>
        <v>Medium Risk</v>
      </c>
      <c r="L873" s="7" t="str">
        <f>IF(J873="High Risk",COUNTIF($J$3:J873,"High Risk"),"")</f>
        <v/>
      </c>
      <c r="M873" s="7">
        <f>RANK(H873,$H$3:$H$1002,0)+COUNTIF($H$3:H873,H873)-1</f>
        <v>680</v>
      </c>
    </row>
    <row r="874" spans="1:13" x14ac:dyDescent="0.35">
      <c r="A874" s="7" t="s">
        <v>1627</v>
      </c>
      <c r="B874" s="7" t="s">
        <v>1628</v>
      </c>
      <c r="C874" s="8" t="s">
        <v>56</v>
      </c>
      <c r="D874" s="8" t="s">
        <v>68</v>
      </c>
      <c r="E874" s="8">
        <v>88.6</v>
      </c>
      <c r="F874" s="8">
        <v>7.5</v>
      </c>
      <c r="G874" s="8">
        <v>76</v>
      </c>
      <c r="H874" s="7">
        <f t="shared" si="39"/>
        <v>79.5</v>
      </c>
      <c r="I874" s="7" t="str">
        <f t="shared" si="40"/>
        <v>PASS</v>
      </c>
      <c r="J874" s="7" t="str">
        <f t="shared" si="41"/>
        <v>Low Risk</v>
      </c>
      <c r="L874" s="7" t="str">
        <f>IF(J874="High Risk",COUNTIF($J$3:J874,"High Risk"),"")</f>
        <v/>
      </c>
      <c r="M874" s="7">
        <f>RANK(H874,$H$3:$H$1002,0)+COUNTIF($H$3:H874,H874)-1</f>
        <v>256</v>
      </c>
    </row>
    <row r="875" spans="1:13" x14ac:dyDescent="0.35">
      <c r="A875" s="7" t="s">
        <v>1629</v>
      </c>
      <c r="B875" s="7" t="s">
        <v>1630</v>
      </c>
      <c r="C875" s="8" t="s">
        <v>62</v>
      </c>
      <c r="D875" s="8" t="s">
        <v>68</v>
      </c>
      <c r="E875" s="8">
        <v>66.7</v>
      </c>
      <c r="F875" s="8">
        <v>5.0999999999999996</v>
      </c>
      <c r="G875" s="8">
        <v>54</v>
      </c>
      <c r="H875" s="7">
        <f t="shared" si="39"/>
        <v>56.9</v>
      </c>
      <c r="I875" s="7" t="str">
        <f t="shared" si="40"/>
        <v>PASS</v>
      </c>
      <c r="J875" s="7" t="str">
        <f t="shared" si="41"/>
        <v>Medium Risk</v>
      </c>
      <c r="L875" s="7" t="str">
        <f>IF(J875="High Risk",COUNTIF($J$3:J875,"High Risk"),"")</f>
        <v/>
      </c>
      <c r="M875" s="7">
        <f>RANK(H875,$H$3:$H$1002,0)+COUNTIF($H$3:H875,H875)-1</f>
        <v>687</v>
      </c>
    </row>
    <row r="876" spans="1:13" x14ac:dyDescent="0.35">
      <c r="A876" s="7" t="s">
        <v>1631</v>
      </c>
      <c r="B876" s="7" t="s">
        <v>318</v>
      </c>
      <c r="C876" s="8" t="s">
        <v>62</v>
      </c>
      <c r="D876" s="8" t="s">
        <v>68</v>
      </c>
      <c r="E876" s="8">
        <v>85.6</v>
      </c>
      <c r="F876" s="8">
        <v>6</v>
      </c>
      <c r="G876" s="8">
        <v>63</v>
      </c>
      <c r="H876" s="7">
        <f t="shared" si="39"/>
        <v>68.900000000000006</v>
      </c>
      <c r="I876" s="7" t="str">
        <f t="shared" si="40"/>
        <v>PASS</v>
      </c>
      <c r="J876" s="7" t="str">
        <f t="shared" si="41"/>
        <v>Low Risk</v>
      </c>
      <c r="L876" s="7" t="str">
        <f>IF(J876="High Risk",COUNTIF($J$3:J876,"High Risk"),"")</f>
        <v/>
      </c>
      <c r="M876" s="7">
        <f>RANK(H876,$H$3:$H$1002,0)+COUNTIF($H$3:H876,H876)-1</f>
        <v>455</v>
      </c>
    </row>
    <row r="877" spans="1:13" x14ac:dyDescent="0.35">
      <c r="A877" s="7" t="s">
        <v>1632</v>
      </c>
      <c r="B877" s="7" t="s">
        <v>1633</v>
      </c>
      <c r="C877" s="8" t="s">
        <v>62</v>
      </c>
      <c r="D877" s="8" t="s">
        <v>57</v>
      </c>
      <c r="E877" s="8">
        <v>68.8</v>
      </c>
      <c r="F877" s="8">
        <v>3.5</v>
      </c>
      <c r="G877" s="8">
        <v>58</v>
      </c>
      <c r="H877" s="7">
        <f t="shared" si="39"/>
        <v>54.3</v>
      </c>
      <c r="I877" s="7" t="str">
        <f t="shared" si="40"/>
        <v>PASS</v>
      </c>
      <c r="J877" s="7" t="str">
        <f t="shared" si="41"/>
        <v>Medium Risk</v>
      </c>
      <c r="L877" s="7" t="str">
        <f>IF(J877="High Risk",COUNTIF($J$3:J877,"High Risk"),"")</f>
        <v/>
      </c>
      <c r="M877" s="7">
        <f>RANK(H877,$H$3:$H$1002,0)+COUNTIF($H$3:H877,H877)-1</f>
        <v>728</v>
      </c>
    </row>
    <row r="878" spans="1:13" x14ac:dyDescent="0.35">
      <c r="A878" s="7" t="s">
        <v>1634</v>
      </c>
      <c r="B878" s="7" t="s">
        <v>1635</v>
      </c>
      <c r="C878" s="8" t="s">
        <v>56</v>
      </c>
      <c r="D878" s="8" t="s">
        <v>63</v>
      </c>
      <c r="E878" s="8">
        <v>75.3</v>
      </c>
      <c r="F878" s="8">
        <v>8.5</v>
      </c>
      <c r="G878" s="8">
        <v>74</v>
      </c>
      <c r="H878" s="7">
        <f t="shared" si="39"/>
        <v>77.7</v>
      </c>
      <c r="I878" s="7" t="str">
        <f t="shared" si="40"/>
        <v>PASS</v>
      </c>
      <c r="J878" s="7" t="str">
        <f t="shared" si="41"/>
        <v>Low Risk</v>
      </c>
      <c r="L878" s="7" t="str">
        <f>IF(J878="High Risk",COUNTIF($J$3:J878,"High Risk"),"")</f>
        <v/>
      </c>
      <c r="M878" s="7">
        <f>RANK(H878,$H$3:$H$1002,0)+COUNTIF($H$3:H878,H878)-1</f>
        <v>281</v>
      </c>
    </row>
    <row r="879" spans="1:13" x14ac:dyDescent="0.35">
      <c r="A879" s="7" t="s">
        <v>1636</v>
      </c>
      <c r="B879" s="7" t="s">
        <v>1637</v>
      </c>
      <c r="C879" s="8" t="s">
        <v>62</v>
      </c>
      <c r="D879" s="8" t="s">
        <v>63</v>
      </c>
      <c r="E879" s="8">
        <v>81.7</v>
      </c>
      <c r="F879" s="8">
        <v>6.9</v>
      </c>
      <c r="G879" s="8">
        <v>58</v>
      </c>
      <c r="H879" s="7">
        <f t="shared" si="39"/>
        <v>68.400000000000006</v>
      </c>
      <c r="I879" s="7" t="str">
        <f t="shared" si="40"/>
        <v>PASS</v>
      </c>
      <c r="J879" s="7" t="str">
        <f t="shared" si="41"/>
        <v>Low Risk</v>
      </c>
      <c r="L879" s="7" t="str">
        <f>IF(J879="High Risk",COUNTIF($J$3:J879,"High Risk"),"")</f>
        <v/>
      </c>
      <c r="M879" s="7">
        <f>RANK(H879,$H$3:$H$1002,0)+COUNTIF($H$3:H879,H879)-1</f>
        <v>467</v>
      </c>
    </row>
    <row r="880" spans="1:13" x14ac:dyDescent="0.35">
      <c r="A880" s="7" t="s">
        <v>1638</v>
      </c>
      <c r="B880" s="7" t="s">
        <v>794</v>
      </c>
      <c r="C880" s="8" t="s">
        <v>62</v>
      </c>
      <c r="D880" s="8" t="s">
        <v>63</v>
      </c>
      <c r="E880" s="8">
        <v>63.7</v>
      </c>
      <c r="F880" s="8">
        <v>2.1</v>
      </c>
      <c r="G880" s="8">
        <v>65</v>
      </c>
      <c r="H880" s="7">
        <f t="shared" si="39"/>
        <v>51.4</v>
      </c>
      <c r="I880" s="7" t="str">
        <f t="shared" si="40"/>
        <v>PASS</v>
      </c>
      <c r="J880" s="7" t="str">
        <f t="shared" si="41"/>
        <v>Medium Risk</v>
      </c>
      <c r="L880" s="7" t="str">
        <f>IF(J880="High Risk",COUNTIF($J$3:J880,"High Risk"),"")</f>
        <v/>
      </c>
      <c r="M880" s="7">
        <f>RANK(H880,$H$3:$H$1002,0)+COUNTIF($H$3:H880,H880)-1</f>
        <v>780</v>
      </c>
    </row>
    <row r="881" spans="1:13" x14ac:dyDescent="0.35">
      <c r="A881" s="7" t="s">
        <v>1639</v>
      </c>
      <c r="B881" s="7" t="s">
        <v>1640</v>
      </c>
      <c r="C881" s="8" t="s">
        <v>56</v>
      </c>
      <c r="D881" s="8" t="s">
        <v>68</v>
      </c>
      <c r="E881" s="8">
        <v>77.8</v>
      </c>
      <c r="F881" s="8">
        <v>3.6</v>
      </c>
      <c r="G881" s="8">
        <v>75</v>
      </c>
      <c r="H881" s="7">
        <f t="shared" si="39"/>
        <v>64.099999999999994</v>
      </c>
      <c r="I881" s="7" t="str">
        <f t="shared" si="40"/>
        <v>PASS</v>
      </c>
      <c r="J881" s="7" t="str">
        <f t="shared" si="41"/>
        <v>Medium Risk</v>
      </c>
      <c r="L881" s="7" t="str">
        <f>IF(J881="High Risk",COUNTIF($J$3:J881,"High Risk"),"")</f>
        <v/>
      </c>
      <c r="M881" s="7">
        <f>RANK(H881,$H$3:$H$1002,0)+COUNTIF($H$3:H881,H881)-1</f>
        <v>546</v>
      </c>
    </row>
    <row r="882" spans="1:13" x14ac:dyDescent="0.35">
      <c r="A882" s="7" t="s">
        <v>1641</v>
      </c>
      <c r="B882" s="7" t="s">
        <v>1642</v>
      </c>
      <c r="C882" s="8" t="s">
        <v>62</v>
      </c>
      <c r="D882" s="8" t="s">
        <v>57</v>
      </c>
      <c r="E882" s="8">
        <v>41.6</v>
      </c>
      <c r="F882" s="8">
        <v>0.4</v>
      </c>
      <c r="G882" s="8">
        <v>47</v>
      </c>
      <c r="H882" s="7">
        <f t="shared" si="39"/>
        <v>32.5</v>
      </c>
      <c r="I882" s="7" t="str">
        <f t="shared" si="40"/>
        <v>FAIL</v>
      </c>
      <c r="J882" s="7" t="str">
        <f t="shared" si="41"/>
        <v>High Risk</v>
      </c>
      <c r="L882" s="7">
        <f>IF(J882="High Risk",COUNTIF($J$3:J882,"High Risk"),"")</f>
        <v>170</v>
      </c>
      <c r="M882" s="7">
        <f>RANK(H882,$H$3:$H$1002,0)+COUNTIF($H$3:H882,H882)-1</f>
        <v>952</v>
      </c>
    </row>
    <row r="883" spans="1:13" x14ac:dyDescent="0.35">
      <c r="A883" s="7" t="s">
        <v>1643</v>
      </c>
      <c r="B883" s="7" t="s">
        <v>1644</v>
      </c>
      <c r="C883" s="8" t="s">
        <v>62</v>
      </c>
      <c r="D883" s="8" t="s">
        <v>75</v>
      </c>
      <c r="E883" s="8">
        <v>64.2</v>
      </c>
      <c r="F883" s="8">
        <v>0.8</v>
      </c>
      <c r="G883" s="8">
        <v>42</v>
      </c>
      <c r="H883" s="7">
        <f t="shared" si="39"/>
        <v>38.5</v>
      </c>
      <c r="I883" s="7" t="str">
        <f t="shared" si="40"/>
        <v>FAIL</v>
      </c>
      <c r="J883" s="7" t="str">
        <f t="shared" si="41"/>
        <v>High Risk</v>
      </c>
      <c r="L883" s="7">
        <f>IF(J883="High Risk",COUNTIF($J$3:J883,"High Risk"),"")</f>
        <v>171</v>
      </c>
      <c r="M883" s="7">
        <f>RANK(H883,$H$3:$H$1002,0)+COUNTIF($H$3:H883,H883)-1</f>
        <v>917</v>
      </c>
    </row>
    <row r="884" spans="1:13" x14ac:dyDescent="0.35">
      <c r="A884" s="7" t="s">
        <v>1645</v>
      </c>
      <c r="B884" s="7" t="s">
        <v>229</v>
      </c>
      <c r="C884" s="8" t="s">
        <v>62</v>
      </c>
      <c r="D884" s="8" t="s">
        <v>68</v>
      </c>
      <c r="E884" s="8">
        <v>59.7</v>
      </c>
      <c r="F884" s="8">
        <v>0</v>
      </c>
      <c r="G884" s="8">
        <v>51</v>
      </c>
      <c r="H884" s="7">
        <f t="shared" si="39"/>
        <v>38.299999999999997</v>
      </c>
      <c r="I884" s="7" t="str">
        <f t="shared" si="40"/>
        <v>FAIL</v>
      </c>
      <c r="J884" s="7" t="str">
        <f t="shared" si="41"/>
        <v>High Risk</v>
      </c>
      <c r="L884" s="7">
        <f>IF(J884="High Risk",COUNTIF($J$3:J884,"High Risk"),"")</f>
        <v>172</v>
      </c>
      <c r="M884" s="7">
        <f>RANK(H884,$H$3:$H$1002,0)+COUNTIF($H$3:H884,H884)-1</f>
        <v>921</v>
      </c>
    </row>
    <row r="885" spans="1:13" x14ac:dyDescent="0.35">
      <c r="A885" s="7" t="s">
        <v>1646</v>
      </c>
      <c r="B885" s="7" t="s">
        <v>542</v>
      </c>
      <c r="C885" s="8" t="s">
        <v>62</v>
      </c>
      <c r="D885" s="8" t="s">
        <v>75</v>
      </c>
      <c r="E885" s="8">
        <v>79.900000000000006</v>
      </c>
      <c r="F885" s="8">
        <v>7.6</v>
      </c>
      <c r="G885" s="8">
        <v>64</v>
      </c>
      <c r="H885" s="7">
        <f t="shared" si="39"/>
        <v>72.400000000000006</v>
      </c>
      <c r="I885" s="7" t="str">
        <f t="shared" si="40"/>
        <v>PASS</v>
      </c>
      <c r="J885" s="7" t="str">
        <f t="shared" si="41"/>
        <v>Low Risk</v>
      </c>
      <c r="L885" s="7" t="str">
        <f>IF(J885="High Risk",COUNTIF($J$3:J885,"High Risk"),"")</f>
        <v/>
      </c>
      <c r="M885" s="7">
        <f>RANK(H885,$H$3:$H$1002,0)+COUNTIF($H$3:H885,H885)-1</f>
        <v>375</v>
      </c>
    </row>
    <row r="886" spans="1:13" x14ac:dyDescent="0.35">
      <c r="A886" s="7" t="s">
        <v>1647</v>
      </c>
      <c r="B886" s="7" t="s">
        <v>1648</v>
      </c>
      <c r="C886" s="8" t="s">
        <v>56</v>
      </c>
      <c r="D886" s="8" t="s">
        <v>63</v>
      </c>
      <c r="E886" s="8">
        <v>69.2</v>
      </c>
      <c r="F886" s="8">
        <v>5.9</v>
      </c>
      <c r="G886" s="8">
        <v>53</v>
      </c>
      <c r="H886" s="7">
        <f t="shared" si="39"/>
        <v>59.7</v>
      </c>
      <c r="I886" s="7" t="str">
        <f t="shared" si="40"/>
        <v>PASS</v>
      </c>
      <c r="J886" s="7" t="str">
        <f t="shared" si="41"/>
        <v>Medium Risk</v>
      </c>
      <c r="L886" s="7" t="str">
        <f>IF(J886="High Risk",COUNTIF($J$3:J886,"High Risk"),"")</f>
        <v/>
      </c>
      <c r="M886" s="7">
        <f>RANK(H886,$H$3:$H$1002,0)+COUNTIF($H$3:H886,H886)-1</f>
        <v>631</v>
      </c>
    </row>
    <row r="887" spans="1:13" x14ac:dyDescent="0.35">
      <c r="A887" s="7" t="s">
        <v>1649</v>
      </c>
      <c r="B887" s="7" t="s">
        <v>1650</v>
      </c>
      <c r="C887" s="8" t="s">
        <v>56</v>
      </c>
      <c r="D887" s="8" t="s">
        <v>57</v>
      </c>
      <c r="E887" s="8">
        <v>54.4</v>
      </c>
      <c r="F887" s="8">
        <v>4.5999999999999996</v>
      </c>
      <c r="G887" s="8">
        <v>52</v>
      </c>
      <c r="H887" s="7">
        <f t="shared" si="39"/>
        <v>50.9</v>
      </c>
      <c r="I887" s="7" t="str">
        <f t="shared" si="40"/>
        <v>PASS</v>
      </c>
      <c r="J887" s="7" t="str">
        <f t="shared" si="41"/>
        <v>Medium Risk</v>
      </c>
      <c r="L887" s="7" t="str">
        <f>IF(J887="High Risk",COUNTIF($J$3:J887,"High Risk"),"")</f>
        <v/>
      </c>
      <c r="M887" s="7">
        <f>RANK(H887,$H$3:$H$1002,0)+COUNTIF($H$3:H887,H887)-1</f>
        <v>787</v>
      </c>
    </row>
    <row r="888" spans="1:13" x14ac:dyDescent="0.35">
      <c r="A888" s="7" t="s">
        <v>1651</v>
      </c>
      <c r="B888" s="7" t="s">
        <v>1652</v>
      </c>
      <c r="C888" s="8" t="s">
        <v>62</v>
      </c>
      <c r="D888" s="8" t="s">
        <v>57</v>
      </c>
      <c r="E888" s="8">
        <v>70.5</v>
      </c>
      <c r="F888" s="8">
        <v>4.3</v>
      </c>
      <c r="G888" s="8">
        <v>55</v>
      </c>
      <c r="H888" s="7">
        <f t="shared" si="39"/>
        <v>56.1</v>
      </c>
      <c r="I888" s="7" t="str">
        <f t="shared" si="40"/>
        <v>PASS</v>
      </c>
      <c r="J888" s="7" t="str">
        <f t="shared" si="41"/>
        <v>Medium Risk</v>
      </c>
      <c r="L888" s="7" t="str">
        <f>IF(J888="High Risk",COUNTIF($J$3:J888,"High Risk"),"")</f>
        <v/>
      </c>
      <c r="M888" s="7">
        <f>RANK(H888,$H$3:$H$1002,0)+COUNTIF($H$3:H888,H888)-1</f>
        <v>697</v>
      </c>
    </row>
    <row r="889" spans="1:13" x14ac:dyDescent="0.35">
      <c r="A889" s="7" t="s">
        <v>1653</v>
      </c>
      <c r="B889" s="7" t="s">
        <v>1654</v>
      </c>
      <c r="C889" s="8" t="s">
        <v>62</v>
      </c>
      <c r="D889" s="8" t="s">
        <v>63</v>
      </c>
      <c r="E889" s="8">
        <v>30</v>
      </c>
      <c r="F889" s="8">
        <v>0</v>
      </c>
      <c r="G889" s="8">
        <v>33</v>
      </c>
      <c r="H889" s="7">
        <f t="shared" si="39"/>
        <v>22.2</v>
      </c>
      <c r="I889" s="7" t="str">
        <f t="shared" si="40"/>
        <v>FAIL</v>
      </c>
      <c r="J889" s="7" t="str">
        <f t="shared" si="41"/>
        <v>High Risk</v>
      </c>
      <c r="L889" s="7">
        <f>IF(J889="High Risk",COUNTIF($J$3:J889,"High Risk"),"")</f>
        <v>173</v>
      </c>
      <c r="M889" s="7">
        <f>RANK(H889,$H$3:$H$1002,0)+COUNTIF($H$3:H889,H889)-1</f>
        <v>992</v>
      </c>
    </row>
    <row r="890" spans="1:13" x14ac:dyDescent="0.35">
      <c r="A890" s="7" t="s">
        <v>1655</v>
      </c>
      <c r="B890" s="7" t="s">
        <v>1656</v>
      </c>
      <c r="C890" s="8" t="s">
        <v>56</v>
      </c>
      <c r="D890" s="8" t="s">
        <v>57</v>
      </c>
      <c r="E890" s="8">
        <v>62.4</v>
      </c>
      <c r="F890" s="8">
        <v>1.9</v>
      </c>
      <c r="G890" s="8">
        <v>59</v>
      </c>
      <c r="H890" s="7">
        <f t="shared" si="39"/>
        <v>48</v>
      </c>
      <c r="I890" s="7" t="str">
        <f t="shared" si="40"/>
        <v>FAIL</v>
      </c>
      <c r="J890" s="7" t="str">
        <f t="shared" si="41"/>
        <v>High Risk</v>
      </c>
      <c r="L890" s="7">
        <f>IF(J890="High Risk",COUNTIF($J$3:J890,"High Risk"),"")</f>
        <v>174</v>
      </c>
      <c r="M890" s="7">
        <f>RANK(H890,$H$3:$H$1002,0)+COUNTIF($H$3:H890,H890)-1</f>
        <v>826</v>
      </c>
    </row>
    <row r="891" spans="1:13" x14ac:dyDescent="0.35">
      <c r="A891" s="7" t="s">
        <v>1657</v>
      </c>
      <c r="B891" s="7" t="s">
        <v>728</v>
      </c>
      <c r="C891" s="8" t="s">
        <v>62</v>
      </c>
      <c r="D891" s="8" t="s">
        <v>75</v>
      </c>
      <c r="E891" s="8">
        <v>83.9</v>
      </c>
      <c r="F891" s="8">
        <v>4.4000000000000004</v>
      </c>
      <c r="G891" s="8">
        <v>61</v>
      </c>
      <c r="H891" s="7">
        <f t="shared" si="39"/>
        <v>62.8</v>
      </c>
      <c r="I891" s="7" t="str">
        <f t="shared" si="40"/>
        <v>PASS</v>
      </c>
      <c r="J891" s="7" t="str">
        <f t="shared" si="41"/>
        <v>Medium Risk</v>
      </c>
      <c r="L891" s="7" t="str">
        <f>IF(J891="High Risk",COUNTIF($J$3:J891,"High Risk"),"")</f>
        <v/>
      </c>
      <c r="M891" s="7">
        <f>RANK(H891,$H$3:$H$1002,0)+COUNTIF($H$3:H891,H891)-1</f>
        <v>565</v>
      </c>
    </row>
    <row r="892" spans="1:13" x14ac:dyDescent="0.35">
      <c r="A892" s="7" t="s">
        <v>1658</v>
      </c>
      <c r="B892" s="7" t="s">
        <v>496</v>
      </c>
      <c r="C892" s="8" t="s">
        <v>56</v>
      </c>
      <c r="D892" s="8" t="s">
        <v>75</v>
      </c>
      <c r="E892" s="8">
        <v>76.3</v>
      </c>
      <c r="F892" s="8">
        <v>7.6</v>
      </c>
      <c r="G892" s="8">
        <v>64</v>
      </c>
      <c r="H892" s="7">
        <f t="shared" si="39"/>
        <v>71.3</v>
      </c>
      <c r="I892" s="7" t="str">
        <f t="shared" si="40"/>
        <v>PASS</v>
      </c>
      <c r="J892" s="7" t="str">
        <f t="shared" si="41"/>
        <v>Low Risk</v>
      </c>
      <c r="L892" s="7" t="str">
        <f>IF(J892="High Risk",COUNTIF($J$3:J892,"High Risk"),"")</f>
        <v/>
      </c>
      <c r="M892" s="7">
        <f>RANK(H892,$H$3:$H$1002,0)+COUNTIF($H$3:H892,H892)-1</f>
        <v>402</v>
      </c>
    </row>
    <row r="893" spans="1:13" x14ac:dyDescent="0.35">
      <c r="A893" s="7" t="s">
        <v>1659</v>
      </c>
      <c r="B893" s="7" t="s">
        <v>1660</v>
      </c>
      <c r="C893" s="8" t="s">
        <v>56</v>
      </c>
      <c r="D893" s="8" t="s">
        <v>68</v>
      </c>
      <c r="E893" s="8">
        <v>60.7</v>
      </c>
      <c r="F893" s="8">
        <v>4.0999999999999996</v>
      </c>
      <c r="G893" s="8">
        <v>58</v>
      </c>
      <c r="H893" s="7">
        <f t="shared" si="39"/>
        <v>53.7</v>
      </c>
      <c r="I893" s="7" t="str">
        <f t="shared" si="40"/>
        <v>PASS</v>
      </c>
      <c r="J893" s="7" t="str">
        <f t="shared" si="41"/>
        <v>Medium Risk</v>
      </c>
      <c r="L893" s="7" t="str">
        <f>IF(J893="High Risk",COUNTIF($J$3:J893,"High Risk"),"")</f>
        <v/>
      </c>
      <c r="M893" s="7">
        <f>RANK(H893,$H$3:$H$1002,0)+COUNTIF($H$3:H893,H893)-1</f>
        <v>740</v>
      </c>
    </row>
    <row r="894" spans="1:13" x14ac:dyDescent="0.35">
      <c r="A894" s="7" t="s">
        <v>1661</v>
      </c>
      <c r="B894" s="7" t="s">
        <v>1519</v>
      </c>
      <c r="C894" s="8" t="s">
        <v>62</v>
      </c>
      <c r="D894" s="8" t="s">
        <v>75</v>
      </c>
      <c r="E894" s="8">
        <v>100</v>
      </c>
      <c r="F894" s="8">
        <v>8.6</v>
      </c>
      <c r="G894" s="8">
        <v>90</v>
      </c>
      <c r="H894" s="7">
        <f t="shared" si="39"/>
        <v>91.8</v>
      </c>
      <c r="I894" s="7" t="str">
        <f t="shared" si="40"/>
        <v>PASS</v>
      </c>
      <c r="J894" s="7" t="str">
        <f t="shared" si="41"/>
        <v>Low Risk</v>
      </c>
      <c r="L894" s="7" t="str">
        <f>IF(J894="High Risk",COUNTIF($J$3:J894,"High Risk"),"")</f>
        <v/>
      </c>
      <c r="M894" s="7">
        <f>RANK(H894,$H$3:$H$1002,0)+COUNTIF($H$3:H894,H894)-1</f>
        <v>85</v>
      </c>
    </row>
    <row r="895" spans="1:13" x14ac:dyDescent="0.35">
      <c r="A895" s="7" t="s">
        <v>1662</v>
      </c>
      <c r="B895" s="7" t="s">
        <v>172</v>
      </c>
      <c r="C895" s="8" t="s">
        <v>62</v>
      </c>
      <c r="D895" s="8" t="s">
        <v>75</v>
      </c>
      <c r="E895" s="8">
        <v>57.1</v>
      </c>
      <c r="F895" s="8">
        <v>4.2</v>
      </c>
      <c r="G895" s="8">
        <v>49</v>
      </c>
      <c r="H895" s="7">
        <f t="shared" si="39"/>
        <v>49.3</v>
      </c>
      <c r="I895" s="7" t="str">
        <f t="shared" si="40"/>
        <v>FAIL</v>
      </c>
      <c r="J895" s="7" t="str">
        <f t="shared" si="41"/>
        <v>High Risk</v>
      </c>
      <c r="L895" s="7">
        <f>IF(J895="High Risk",COUNTIF($J$3:J895,"High Risk"),"")</f>
        <v>175</v>
      </c>
      <c r="M895" s="7">
        <f>RANK(H895,$H$3:$H$1002,0)+COUNTIF($H$3:H895,H895)-1</f>
        <v>810</v>
      </c>
    </row>
    <row r="896" spans="1:13" x14ac:dyDescent="0.35">
      <c r="A896" s="7" t="s">
        <v>1663</v>
      </c>
      <c r="B896" s="7" t="s">
        <v>1664</v>
      </c>
      <c r="C896" s="8" t="s">
        <v>56</v>
      </c>
      <c r="D896" s="8" t="s">
        <v>75</v>
      </c>
      <c r="E896" s="8">
        <v>90.5</v>
      </c>
      <c r="F896" s="8">
        <v>5.4</v>
      </c>
      <c r="G896" s="8">
        <v>61</v>
      </c>
      <c r="H896" s="7">
        <f t="shared" si="39"/>
        <v>67.8</v>
      </c>
      <c r="I896" s="7" t="str">
        <f t="shared" si="40"/>
        <v>PASS</v>
      </c>
      <c r="J896" s="7" t="str">
        <f t="shared" si="41"/>
        <v>Low Risk</v>
      </c>
      <c r="L896" s="7" t="str">
        <f>IF(J896="High Risk",COUNTIF($J$3:J896,"High Risk"),"")</f>
        <v/>
      </c>
      <c r="M896" s="7">
        <f>RANK(H896,$H$3:$H$1002,0)+COUNTIF($H$3:H896,H896)-1</f>
        <v>477</v>
      </c>
    </row>
    <row r="897" spans="1:13" x14ac:dyDescent="0.35">
      <c r="A897" s="7" t="s">
        <v>1665</v>
      </c>
      <c r="B897" s="7" t="s">
        <v>120</v>
      </c>
      <c r="C897" s="8" t="s">
        <v>62</v>
      </c>
      <c r="D897" s="8" t="s">
        <v>63</v>
      </c>
      <c r="E897" s="8">
        <v>71</v>
      </c>
      <c r="F897" s="8">
        <v>11.3</v>
      </c>
      <c r="G897" s="8">
        <v>67</v>
      </c>
      <c r="H897" s="7">
        <f t="shared" si="39"/>
        <v>78.099999999999994</v>
      </c>
      <c r="I897" s="7" t="str">
        <f t="shared" si="40"/>
        <v>PASS</v>
      </c>
      <c r="J897" s="7" t="str">
        <f t="shared" si="41"/>
        <v>Low Risk</v>
      </c>
      <c r="L897" s="7" t="str">
        <f>IF(J897="High Risk",COUNTIF($J$3:J897,"High Risk"),"")</f>
        <v/>
      </c>
      <c r="M897" s="7">
        <f>RANK(H897,$H$3:$H$1002,0)+COUNTIF($H$3:H897,H897)-1</f>
        <v>278</v>
      </c>
    </row>
    <row r="898" spans="1:13" x14ac:dyDescent="0.35">
      <c r="A898" s="7" t="s">
        <v>1666</v>
      </c>
      <c r="B898" s="7" t="s">
        <v>536</v>
      </c>
      <c r="C898" s="8" t="s">
        <v>56</v>
      </c>
      <c r="D898" s="8" t="s">
        <v>75</v>
      </c>
      <c r="E898" s="8">
        <v>83.8</v>
      </c>
      <c r="F898" s="8">
        <v>6.3</v>
      </c>
      <c r="G898" s="8">
        <v>65</v>
      </c>
      <c r="H898" s="7">
        <f t="shared" si="39"/>
        <v>70</v>
      </c>
      <c r="I898" s="7" t="str">
        <f t="shared" si="40"/>
        <v>PASS</v>
      </c>
      <c r="J898" s="7" t="str">
        <f t="shared" si="41"/>
        <v>Low Risk</v>
      </c>
      <c r="L898" s="7" t="str">
        <f>IF(J898="High Risk",COUNTIF($J$3:J898,"High Risk"),"")</f>
        <v/>
      </c>
      <c r="M898" s="7">
        <f>RANK(H898,$H$3:$H$1002,0)+COUNTIF($H$3:H898,H898)-1</f>
        <v>431</v>
      </c>
    </row>
    <row r="899" spans="1:13" x14ac:dyDescent="0.35">
      <c r="A899" s="7" t="s">
        <v>1667</v>
      </c>
      <c r="B899" s="7" t="s">
        <v>269</v>
      </c>
      <c r="C899" s="8" t="s">
        <v>62</v>
      </c>
      <c r="D899" s="8" t="s">
        <v>68</v>
      </c>
      <c r="E899" s="8">
        <v>87</v>
      </c>
      <c r="F899" s="8">
        <v>9.8000000000000007</v>
      </c>
      <c r="G899" s="8">
        <v>78</v>
      </c>
      <c r="H899" s="7">
        <f t="shared" ref="H899:H962" si="42">ROUND(0.4*G899+0.3*E899+0.3*MIN(F899/10,1)*100,1)</f>
        <v>86.7</v>
      </c>
      <c r="I899" s="7" t="str">
        <f t="shared" ref="I899:I962" si="43">IF(H899&gt;=50,"PASS","FAIL")</f>
        <v>PASS</v>
      </c>
      <c r="J899" s="7" t="str">
        <f t="shared" ref="J899:J962" si="44">IF(H899&lt;50,"High Risk",IF(H899&lt;65,"Medium Risk","Low Risk"))</f>
        <v>Low Risk</v>
      </c>
      <c r="L899" s="7" t="str">
        <f>IF(J899="High Risk",COUNTIF($J$3:J899,"High Risk"),"")</f>
        <v/>
      </c>
      <c r="M899" s="7">
        <f>RANK(H899,$H$3:$H$1002,0)+COUNTIF($H$3:H899,H899)-1</f>
        <v>143</v>
      </c>
    </row>
    <row r="900" spans="1:13" x14ac:dyDescent="0.35">
      <c r="A900" s="7" t="s">
        <v>1668</v>
      </c>
      <c r="B900" s="7" t="s">
        <v>1669</v>
      </c>
      <c r="C900" s="8" t="s">
        <v>62</v>
      </c>
      <c r="D900" s="8" t="s">
        <v>57</v>
      </c>
      <c r="E900" s="8">
        <v>57.8</v>
      </c>
      <c r="F900" s="8">
        <v>4.8</v>
      </c>
      <c r="G900" s="8">
        <v>56</v>
      </c>
      <c r="H900" s="7">
        <f t="shared" si="42"/>
        <v>54.1</v>
      </c>
      <c r="I900" s="7" t="str">
        <f t="shared" si="43"/>
        <v>PASS</v>
      </c>
      <c r="J900" s="7" t="str">
        <f t="shared" si="44"/>
        <v>Medium Risk</v>
      </c>
      <c r="L900" s="7" t="str">
        <f>IF(J900="High Risk",COUNTIF($J$3:J900,"High Risk"),"")</f>
        <v/>
      </c>
      <c r="M900" s="7">
        <f>RANK(H900,$H$3:$H$1002,0)+COUNTIF($H$3:H900,H900)-1</f>
        <v>732</v>
      </c>
    </row>
    <row r="901" spans="1:13" x14ac:dyDescent="0.35">
      <c r="A901" s="7" t="s">
        <v>1670</v>
      </c>
      <c r="B901" s="7" t="s">
        <v>1671</v>
      </c>
      <c r="C901" s="8" t="s">
        <v>56</v>
      </c>
      <c r="D901" s="8" t="s">
        <v>75</v>
      </c>
      <c r="E901" s="8">
        <v>31.3</v>
      </c>
      <c r="F901" s="8">
        <v>0</v>
      </c>
      <c r="G901" s="8">
        <v>26</v>
      </c>
      <c r="H901" s="7">
        <f t="shared" si="42"/>
        <v>19.8</v>
      </c>
      <c r="I901" s="7" t="str">
        <f t="shared" si="43"/>
        <v>FAIL</v>
      </c>
      <c r="J901" s="7" t="str">
        <f t="shared" si="44"/>
        <v>High Risk</v>
      </c>
      <c r="L901" s="7">
        <f>IF(J901="High Risk",COUNTIF($J$3:J901,"High Risk"),"")</f>
        <v>176</v>
      </c>
      <c r="M901" s="7">
        <f>RANK(H901,$H$3:$H$1002,0)+COUNTIF($H$3:H901,H901)-1</f>
        <v>994</v>
      </c>
    </row>
    <row r="902" spans="1:13" x14ac:dyDescent="0.35">
      <c r="A902" s="7" t="s">
        <v>1672</v>
      </c>
      <c r="B902" s="7" t="s">
        <v>1554</v>
      </c>
      <c r="C902" s="8" t="s">
        <v>56</v>
      </c>
      <c r="D902" s="8" t="s">
        <v>57</v>
      </c>
      <c r="E902" s="8">
        <v>88</v>
      </c>
      <c r="F902" s="8">
        <v>5.2</v>
      </c>
      <c r="G902" s="8">
        <v>60</v>
      </c>
      <c r="H902" s="7">
        <f t="shared" si="42"/>
        <v>66</v>
      </c>
      <c r="I902" s="7" t="str">
        <f t="shared" si="43"/>
        <v>PASS</v>
      </c>
      <c r="J902" s="7" t="str">
        <f t="shared" si="44"/>
        <v>Low Risk</v>
      </c>
      <c r="L902" s="7" t="str">
        <f>IF(J902="High Risk",COUNTIF($J$3:J902,"High Risk"),"")</f>
        <v/>
      </c>
      <c r="M902" s="7">
        <f>RANK(H902,$H$3:$H$1002,0)+COUNTIF($H$3:H902,H902)-1</f>
        <v>510</v>
      </c>
    </row>
    <row r="903" spans="1:13" x14ac:dyDescent="0.35">
      <c r="A903" s="7" t="s">
        <v>1673</v>
      </c>
      <c r="B903" s="7" t="s">
        <v>1574</v>
      </c>
      <c r="C903" s="8" t="s">
        <v>56</v>
      </c>
      <c r="D903" s="8" t="s">
        <v>68</v>
      </c>
      <c r="E903" s="8">
        <v>100</v>
      </c>
      <c r="F903" s="8">
        <v>10.4</v>
      </c>
      <c r="G903" s="8">
        <v>100</v>
      </c>
      <c r="H903" s="7">
        <f t="shared" si="42"/>
        <v>100</v>
      </c>
      <c r="I903" s="7" t="str">
        <f t="shared" si="43"/>
        <v>PASS</v>
      </c>
      <c r="J903" s="7" t="str">
        <f t="shared" si="44"/>
        <v>Low Risk</v>
      </c>
      <c r="L903" s="7" t="str">
        <f>IF(J903="High Risk",COUNTIF($J$3:J903,"High Risk"),"")</f>
        <v/>
      </c>
      <c r="M903" s="7">
        <f>RANK(H903,$H$3:$H$1002,0)+COUNTIF($H$3:H903,H903)-1</f>
        <v>11</v>
      </c>
    </row>
    <row r="904" spans="1:13" x14ac:dyDescent="0.35">
      <c r="A904" s="7" t="s">
        <v>1674</v>
      </c>
      <c r="B904" s="7" t="s">
        <v>1675</v>
      </c>
      <c r="C904" s="8" t="s">
        <v>56</v>
      </c>
      <c r="D904" s="8" t="s">
        <v>68</v>
      </c>
      <c r="E904" s="8">
        <v>45.6</v>
      </c>
      <c r="F904" s="8">
        <v>0.8</v>
      </c>
      <c r="G904" s="8">
        <v>58</v>
      </c>
      <c r="H904" s="7">
        <f t="shared" si="42"/>
        <v>39.299999999999997</v>
      </c>
      <c r="I904" s="7" t="str">
        <f t="shared" si="43"/>
        <v>FAIL</v>
      </c>
      <c r="J904" s="7" t="str">
        <f t="shared" si="44"/>
        <v>High Risk</v>
      </c>
      <c r="L904" s="7">
        <f>IF(J904="High Risk",COUNTIF($J$3:J904,"High Risk"),"")</f>
        <v>177</v>
      </c>
      <c r="M904" s="7">
        <f>RANK(H904,$H$3:$H$1002,0)+COUNTIF($H$3:H904,H904)-1</f>
        <v>909</v>
      </c>
    </row>
    <row r="905" spans="1:13" x14ac:dyDescent="0.35">
      <c r="A905" s="7" t="s">
        <v>1676</v>
      </c>
      <c r="B905" s="7" t="s">
        <v>247</v>
      </c>
      <c r="C905" s="8" t="s">
        <v>56</v>
      </c>
      <c r="D905" s="8" t="s">
        <v>63</v>
      </c>
      <c r="E905" s="8">
        <v>67.400000000000006</v>
      </c>
      <c r="F905" s="8">
        <v>3.5</v>
      </c>
      <c r="G905" s="8">
        <v>49</v>
      </c>
      <c r="H905" s="7">
        <f t="shared" si="42"/>
        <v>50.3</v>
      </c>
      <c r="I905" s="7" t="str">
        <f t="shared" si="43"/>
        <v>PASS</v>
      </c>
      <c r="J905" s="7" t="str">
        <f t="shared" si="44"/>
        <v>Medium Risk</v>
      </c>
      <c r="L905" s="7" t="str">
        <f>IF(J905="High Risk",COUNTIF($J$3:J905,"High Risk"),"")</f>
        <v/>
      </c>
      <c r="M905" s="7">
        <f>RANK(H905,$H$3:$H$1002,0)+COUNTIF($H$3:H905,H905)-1</f>
        <v>799</v>
      </c>
    </row>
    <row r="906" spans="1:13" x14ac:dyDescent="0.35">
      <c r="A906" s="7" t="s">
        <v>1677</v>
      </c>
      <c r="B906" s="7" t="s">
        <v>510</v>
      </c>
      <c r="C906" s="8" t="s">
        <v>62</v>
      </c>
      <c r="D906" s="8" t="s">
        <v>57</v>
      </c>
      <c r="E906" s="8">
        <v>46</v>
      </c>
      <c r="F906" s="8">
        <v>1.2</v>
      </c>
      <c r="G906" s="8">
        <v>56</v>
      </c>
      <c r="H906" s="7">
        <f t="shared" si="42"/>
        <v>39.799999999999997</v>
      </c>
      <c r="I906" s="7" t="str">
        <f t="shared" si="43"/>
        <v>FAIL</v>
      </c>
      <c r="J906" s="7" t="str">
        <f t="shared" si="44"/>
        <v>High Risk</v>
      </c>
      <c r="L906" s="7">
        <f>IF(J906="High Risk",COUNTIF($J$3:J906,"High Risk"),"")</f>
        <v>178</v>
      </c>
      <c r="M906" s="7">
        <f>RANK(H906,$H$3:$H$1002,0)+COUNTIF($H$3:H906,H906)-1</f>
        <v>906</v>
      </c>
    </row>
    <row r="907" spans="1:13" x14ac:dyDescent="0.35">
      <c r="A907" s="7" t="s">
        <v>1678</v>
      </c>
      <c r="B907" s="7" t="s">
        <v>1679</v>
      </c>
      <c r="C907" s="8" t="s">
        <v>62</v>
      </c>
      <c r="D907" s="8" t="s">
        <v>63</v>
      </c>
      <c r="E907" s="8">
        <v>82.5</v>
      </c>
      <c r="F907" s="8">
        <v>8.6</v>
      </c>
      <c r="G907" s="8">
        <v>78</v>
      </c>
      <c r="H907" s="7">
        <f t="shared" si="42"/>
        <v>81.8</v>
      </c>
      <c r="I907" s="7" t="str">
        <f t="shared" si="43"/>
        <v>PASS</v>
      </c>
      <c r="J907" s="7" t="str">
        <f t="shared" si="44"/>
        <v>Low Risk</v>
      </c>
      <c r="L907" s="7" t="str">
        <f>IF(J907="High Risk",COUNTIF($J$3:J907,"High Risk"),"")</f>
        <v/>
      </c>
      <c r="M907" s="7">
        <f>RANK(H907,$H$3:$H$1002,0)+COUNTIF($H$3:H907,H907)-1</f>
        <v>217</v>
      </c>
    </row>
    <row r="908" spans="1:13" x14ac:dyDescent="0.35">
      <c r="A908" s="7" t="s">
        <v>1680</v>
      </c>
      <c r="B908" s="7" t="s">
        <v>1349</v>
      </c>
      <c r="C908" s="8" t="s">
        <v>62</v>
      </c>
      <c r="D908" s="8" t="s">
        <v>57</v>
      </c>
      <c r="E908" s="8">
        <v>55.3</v>
      </c>
      <c r="F908" s="8">
        <v>0.4</v>
      </c>
      <c r="G908" s="8">
        <v>62</v>
      </c>
      <c r="H908" s="7">
        <f t="shared" si="42"/>
        <v>42.6</v>
      </c>
      <c r="I908" s="7" t="str">
        <f t="shared" si="43"/>
        <v>FAIL</v>
      </c>
      <c r="J908" s="7" t="str">
        <f t="shared" si="44"/>
        <v>High Risk</v>
      </c>
      <c r="L908" s="7">
        <f>IF(J908="High Risk",COUNTIF($J$3:J908,"High Risk"),"")</f>
        <v>179</v>
      </c>
      <c r="M908" s="7">
        <f>RANK(H908,$H$3:$H$1002,0)+COUNTIF($H$3:H908,H908)-1</f>
        <v>878</v>
      </c>
    </row>
    <row r="909" spans="1:13" x14ac:dyDescent="0.35">
      <c r="A909" s="7" t="s">
        <v>1681</v>
      </c>
      <c r="B909" s="7" t="s">
        <v>1682</v>
      </c>
      <c r="C909" s="8" t="s">
        <v>62</v>
      </c>
      <c r="D909" s="8" t="s">
        <v>75</v>
      </c>
      <c r="E909" s="8">
        <v>81.7</v>
      </c>
      <c r="F909" s="8">
        <v>6.3</v>
      </c>
      <c r="G909" s="8">
        <v>61</v>
      </c>
      <c r="H909" s="7">
        <f t="shared" si="42"/>
        <v>67.8</v>
      </c>
      <c r="I909" s="7" t="str">
        <f t="shared" si="43"/>
        <v>PASS</v>
      </c>
      <c r="J909" s="7" t="str">
        <f t="shared" si="44"/>
        <v>Low Risk</v>
      </c>
      <c r="L909" s="7" t="str">
        <f>IF(J909="High Risk",COUNTIF($J$3:J909,"High Risk"),"")</f>
        <v/>
      </c>
      <c r="M909" s="7">
        <f>RANK(H909,$H$3:$H$1002,0)+COUNTIF($H$3:H909,H909)-1</f>
        <v>478</v>
      </c>
    </row>
    <row r="910" spans="1:13" x14ac:dyDescent="0.35">
      <c r="A910" s="7" t="s">
        <v>1683</v>
      </c>
      <c r="B910" s="7" t="s">
        <v>1434</v>
      </c>
      <c r="C910" s="8" t="s">
        <v>62</v>
      </c>
      <c r="D910" s="8" t="s">
        <v>68</v>
      </c>
      <c r="E910" s="8">
        <v>100</v>
      </c>
      <c r="F910" s="8">
        <v>9.6999999999999993</v>
      </c>
      <c r="G910" s="8">
        <v>96</v>
      </c>
      <c r="H910" s="7">
        <f t="shared" si="42"/>
        <v>97.5</v>
      </c>
      <c r="I910" s="7" t="str">
        <f t="shared" si="43"/>
        <v>PASS</v>
      </c>
      <c r="J910" s="7" t="str">
        <f t="shared" si="44"/>
        <v>Low Risk</v>
      </c>
      <c r="L910" s="7" t="str">
        <f>IF(J910="High Risk",COUNTIF($J$3:J910,"High Risk"),"")</f>
        <v/>
      </c>
      <c r="M910" s="7">
        <f>RANK(H910,$H$3:$H$1002,0)+COUNTIF($H$3:H910,H910)-1</f>
        <v>31</v>
      </c>
    </row>
    <row r="911" spans="1:13" x14ac:dyDescent="0.35">
      <c r="A911" s="7" t="s">
        <v>1684</v>
      </c>
      <c r="B911" s="7" t="s">
        <v>970</v>
      </c>
      <c r="C911" s="8" t="s">
        <v>56</v>
      </c>
      <c r="D911" s="8" t="s">
        <v>68</v>
      </c>
      <c r="E911" s="8">
        <v>86.4</v>
      </c>
      <c r="F911" s="8">
        <v>4.5999999999999996</v>
      </c>
      <c r="G911" s="8">
        <v>83</v>
      </c>
      <c r="H911" s="7">
        <f t="shared" si="42"/>
        <v>72.900000000000006</v>
      </c>
      <c r="I911" s="7" t="str">
        <f t="shared" si="43"/>
        <v>PASS</v>
      </c>
      <c r="J911" s="7" t="str">
        <f t="shared" si="44"/>
        <v>Low Risk</v>
      </c>
      <c r="L911" s="7" t="str">
        <f>IF(J911="High Risk",COUNTIF($J$3:J911,"High Risk"),"")</f>
        <v/>
      </c>
      <c r="M911" s="7">
        <f>RANK(H911,$H$3:$H$1002,0)+COUNTIF($H$3:H911,H911)-1</f>
        <v>365</v>
      </c>
    </row>
    <row r="912" spans="1:13" x14ac:dyDescent="0.35">
      <c r="A912" s="7" t="s">
        <v>1685</v>
      </c>
      <c r="B912" s="7" t="s">
        <v>1686</v>
      </c>
      <c r="C912" s="8" t="s">
        <v>62</v>
      </c>
      <c r="D912" s="8" t="s">
        <v>63</v>
      </c>
      <c r="E912" s="8">
        <v>63</v>
      </c>
      <c r="F912" s="8">
        <v>4</v>
      </c>
      <c r="G912" s="8">
        <v>55</v>
      </c>
      <c r="H912" s="7">
        <f t="shared" si="42"/>
        <v>52.9</v>
      </c>
      <c r="I912" s="7" t="str">
        <f t="shared" si="43"/>
        <v>PASS</v>
      </c>
      <c r="J912" s="7" t="str">
        <f t="shared" si="44"/>
        <v>Medium Risk</v>
      </c>
      <c r="L912" s="7" t="str">
        <f>IF(J912="High Risk",COUNTIF($J$3:J912,"High Risk"),"")</f>
        <v/>
      </c>
      <c r="M912" s="7">
        <f>RANK(H912,$H$3:$H$1002,0)+COUNTIF($H$3:H912,H912)-1</f>
        <v>753</v>
      </c>
    </row>
    <row r="913" spans="1:13" x14ac:dyDescent="0.35">
      <c r="A913" s="7" t="s">
        <v>1687</v>
      </c>
      <c r="B913" s="7" t="s">
        <v>1688</v>
      </c>
      <c r="C913" s="8" t="s">
        <v>62</v>
      </c>
      <c r="D913" s="8" t="s">
        <v>57</v>
      </c>
      <c r="E913" s="8">
        <v>100</v>
      </c>
      <c r="F913" s="8">
        <v>10</v>
      </c>
      <c r="G913" s="8">
        <v>93</v>
      </c>
      <c r="H913" s="7">
        <f t="shared" si="42"/>
        <v>97.2</v>
      </c>
      <c r="I913" s="7" t="str">
        <f t="shared" si="43"/>
        <v>PASS</v>
      </c>
      <c r="J913" s="7" t="str">
        <f t="shared" si="44"/>
        <v>Low Risk</v>
      </c>
      <c r="L913" s="7" t="str">
        <f>IF(J913="High Risk",COUNTIF($J$3:J913,"High Risk"),"")</f>
        <v/>
      </c>
      <c r="M913" s="7">
        <f>RANK(H913,$H$3:$H$1002,0)+COUNTIF($H$3:H913,H913)-1</f>
        <v>36</v>
      </c>
    </row>
    <row r="914" spans="1:13" x14ac:dyDescent="0.35">
      <c r="A914" s="7" t="s">
        <v>1689</v>
      </c>
      <c r="B914" s="7" t="s">
        <v>1690</v>
      </c>
      <c r="C914" s="8" t="s">
        <v>56</v>
      </c>
      <c r="D914" s="8" t="s">
        <v>63</v>
      </c>
      <c r="E914" s="8">
        <v>84.2</v>
      </c>
      <c r="F914" s="8">
        <v>8.6999999999999993</v>
      </c>
      <c r="G914" s="8">
        <v>85</v>
      </c>
      <c r="H914" s="7">
        <f t="shared" si="42"/>
        <v>85.4</v>
      </c>
      <c r="I914" s="7" t="str">
        <f t="shared" si="43"/>
        <v>PASS</v>
      </c>
      <c r="J914" s="7" t="str">
        <f t="shared" si="44"/>
        <v>Low Risk</v>
      </c>
      <c r="L914" s="7" t="str">
        <f>IF(J914="High Risk",COUNTIF($J$3:J914,"High Risk"),"")</f>
        <v/>
      </c>
      <c r="M914" s="7">
        <f>RANK(H914,$H$3:$H$1002,0)+COUNTIF($H$3:H914,H914)-1</f>
        <v>162</v>
      </c>
    </row>
    <row r="915" spans="1:13" x14ac:dyDescent="0.35">
      <c r="A915" s="7" t="s">
        <v>1691</v>
      </c>
      <c r="B915" s="7" t="s">
        <v>452</v>
      </c>
      <c r="C915" s="8" t="s">
        <v>56</v>
      </c>
      <c r="D915" s="8" t="s">
        <v>68</v>
      </c>
      <c r="E915" s="8">
        <v>61.3</v>
      </c>
      <c r="F915" s="8">
        <v>5</v>
      </c>
      <c r="G915" s="8">
        <v>40</v>
      </c>
      <c r="H915" s="7">
        <f t="shared" si="42"/>
        <v>49.4</v>
      </c>
      <c r="I915" s="7" t="str">
        <f t="shared" si="43"/>
        <v>FAIL</v>
      </c>
      <c r="J915" s="7" t="str">
        <f t="shared" si="44"/>
        <v>High Risk</v>
      </c>
      <c r="L915" s="7">
        <f>IF(J915="High Risk",COUNTIF($J$3:J915,"High Risk"),"")</f>
        <v>180</v>
      </c>
      <c r="M915" s="7">
        <f>RANK(H915,$H$3:$H$1002,0)+COUNTIF($H$3:H915,H915)-1</f>
        <v>807</v>
      </c>
    </row>
    <row r="916" spans="1:13" x14ac:dyDescent="0.35">
      <c r="A916" s="7" t="s">
        <v>1692</v>
      </c>
      <c r="B916" s="7" t="s">
        <v>1368</v>
      </c>
      <c r="C916" s="8" t="s">
        <v>56</v>
      </c>
      <c r="D916" s="8" t="s">
        <v>63</v>
      </c>
      <c r="E916" s="8">
        <v>60.7</v>
      </c>
      <c r="F916" s="8">
        <v>1</v>
      </c>
      <c r="G916" s="8">
        <v>43</v>
      </c>
      <c r="H916" s="7">
        <f t="shared" si="42"/>
        <v>38.4</v>
      </c>
      <c r="I916" s="7" t="str">
        <f t="shared" si="43"/>
        <v>FAIL</v>
      </c>
      <c r="J916" s="7" t="str">
        <f t="shared" si="44"/>
        <v>High Risk</v>
      </c>
      <c r="L916" s="7">
        <f>IF(J916="High Risk",COUNTIF($J$3:J916,"High Risk"),"")</f>
        <v>181</v>
      </c>
      <c r="M916" s="7">
        <f>RANK(H916,$H$3:$H$1002,0)+COUNTIF($H$3:H916,H916)-1</f>
        <v>919</v>
      </c>
    </row>
    <row r="917" spans="1:13" x14ac:dyDescent="0.35">
      <c r="A917" s="7" t="s">
        <v>1693</v>
      </c>
      <c r="B917" s="7" t="s">
        <v>1224</v>
      </c>
      <c r="C917" s="8" t="s">
        <v>62</v>
      </c>
      <c r="D917" s="8" t="s">
        <v>57</v>
      </c>
      <c r="E917" s="8">
        <v>99</v>
      </c>
      <c r="F917" s="8">
        <v>7.2</v>
      </c>
      <c r="G917" s="8">
        <v>76</v>
      </c>
      <c r="H917" s="7">
        <f t="shared" si="42"/>
        <v>81.7</v>
      </c>
      <c r="I917" s="7" t="str">
        <f t="shared" si="43"/>
        <v>PASS</v>
      </c>
      <c r="J917" s="7" t="str">
        <f t="shared" si="44"/>
        <v>Low Risk</v>
      </c>
      <c r="L917" s="7" t="str">
        <f>IF(J917="High Risk",COUNTIF($J$3:J917,"High Risk"),"")</f>
        <v/>
      </c>
      <c r="M917" s="7">
        <f>RANK(H917,$H$3:$H$1002,0)+COUNTIF($H$3:H917,H917)-1</f>
        <v>223</v>
      </c>
    </row>
    <row r="918" spans="1:13" x14ac:dyDescent="0.35">
      <c r="A918" s="7" t="s">
        <v>1694</v>
      </c>
      <c r="B918" s="7" t="s">
        <v>1023</v>
      </c>
      <c r="C918" s="8" t="s">
        <v>56</v>
      </c>
      <c r="D918" s="8" t="s">
        <v>57</v>
      </c>
      <c r="E918" s="8">
        <v>78.099999999999994</v>
      </c>
      <c r="F918" s="8">
        <v>5.9</v>
      </c>
      <c r="G918" s="8">
        <v>62</v>
      </c>
      <c r="H918" s="7">
        <f t="shared" si="42"/>
        <v>65.900000000000006</v>
      </c>
      <c r="I918" s="7" t="str">
        <f t="shared" si="43"/>
        <v>PASS</v>
      </c>
      <c r="J918" s="7" t="str">
        <f t="shared" si="44"/>
        <v>Low Risk</v>
      </c>
      <c r="L918" s="7" t="str">
        <f>IF(J918="High Risk",COUNTIF($J$3:J918,"High Risk"),"")</f>
        <v/>
      </c>
      <c r="M918" s="7">
        <f>RANK(H918,$H$3:$H$1002,0)+COUNTIF($H$3:H918,H918)-1</f>
        <v>513</v>
      </c>
    </row>
    <row r="919" spans="1:13" x14ac:dyDescent="0.35">
      <c r="A919" s="7" t="s">
        <v>1695</v>
      </c>
      <c r="B919" s="7" t="s">
        <v>1696</v>
      </c>
      <c r="C919" s="8" t="s">
        <v>56</v>
      </c>
      <c r="D919" s="8" t="s">
        <v>63</v>
      </c>
      <c r="E919" s="8">
        <v>71.7</v>
      </c>
      <c r="F919" s="8">
        <v>3.7</v>
      </c>
      <c r="G919" s="8">
        <v>70</v>
      </c>
      <c r="H919" s="7">
        <f t="shared" si="42"/>
        <v>60.6</v>
      </c>
      <c r="I919" s="7" t="str">
        <f t="shared" si="43"/>
        <v>PASS</v>
      </c>
      <c r="J919" s="7" t="str">
        <f t="shared" si="44"/>
        <v>Medium Risk</v>
      </c>
      <c r="L919" s="7" t="str">
        <f>IF(J919="High Risk",COUNTIF($J$3:J919,"High Risk"),"")</f>
        <v/>
      </c>
      <c r="M919" s="7">
        <f>RANK(H919,$H$3:$H$1002,0)+COUNTIF($H$3:H919,H919)-1</f>
        <v>609</v>
      </c>
    </row>
    <row r="920" spans="1:13" x14ac:dyDescent="0.35">
      <c r="A920" s="7" t="s">
        <v>1697</v>
      </c>
      <c r="B920" s="7" t="s">
        <v>1698</v>
      </c>
      <c r="C920" s="8" t="s">
        <v>62</v>
      </c>
      <c r="D920" s="8" t="s">
        <v>63</v>
      </c>
      <c r="E920" s="8">
        <v>75</v>
      </c>
      <c r="F920" s="8">
        <v>6.5</v>
      </c>
      <c r="G920" s="8">
        <v>63</v>
      </c>
      <c r="H920" s="7">
        <f t="shared" si="42"/>
        <v>67.2</v>
      </c>
      <c r="I920" s="7" t="str">
        <f t="shared" si="43"/>
        <v>PASS</v>
      </c>
      <c r="J920" s="7" t="str">
        <f t="shared" si="44"/>
        <v>Low Risk</v>
      </c>
      <c r="L920" s="7" t="str">
        <f>IF(J920="High Risk",COUNTIF($J$3:J920,"High Risk"),"")</f>
        <v/>
      </c>
      <c r="M920" s="7">
        <f>RANK(H920,$H$3:$H$1002,0)+COUNTIF($H$3:H920,H920)-1</f>
        <v>494</v>
      </c>
    </row>
    <row r="921" spans="1:13" x14ac:dyDescent="0.35">
      <c r="A921" s="7" t="s">
        <v>1699</v>
      </c>
      <c r="B921" s="7" t="s">
        <v>1700</v>
      </c>
      <c r="C921" s="8" t="s">
        <v>62</v>
      </c>
      <c r="D921" s="8" t="s">
        <v>68</v>
      </c>
      <c r="E921" s="8">
        <v>79.2</v>
      </c>
      <c r="F921" s="8">
        <v>11.2</v>
      </c>
      <c r="G921" s="8">
        <v>68</v>
      </c>
      <c r="H921" s="7">
        <f t="shared" si="42"/>
        <v>81</v>
      </c>
      <c r="I921" s="7" t="str">
        <f t="shared" si="43"/>
        <v>PASS</v>
      </c>
      <c r="J921" s="7" t="str">
        <f t="shared" si="44"/>
        <v>Low Risk</v>
      </c>
      <c r="L921" s="7" t="str">
        <f>IF(J921="High Risk",COUNTIF($J$3:J921,"High Risk"),"")</f>
        <v/>
      </c>
      <c r="M921" s="7">
        <f>RANK(H921,$H$3:$H$1002,0)+COUNTIF($H$3:H921,H921)-1</f>
        <v>232</v>
      </c>
    </row>
    <row r="922" spans="1:13" x14ac:dyDescent="0.35">
      <c r="A922" s="7" t="s">
        <v>1701</v>
      </c>
      <c r="B922" s="7" t="s">
        <v>1150</v>
      </c>
      <c r="C922" s="8" t="s">
        <v>56</v>
      </c>
      <c r="D922" s="8" t="s">
        <v>68</v>
      </c>
      <c r="E922" s="8">
        <v>94.2</v>
      </c>
      <c r="F922" s="8">
        <v>8.1</v>
      </c>
      <c r="G922" s="8">
        <v>79</v>
      </c>
      <c r="H922" s="7">
        <f t="shared" si="42"/>
        <v>84.2</v>
      </c>
      <c r="I922" s="7" t="str">
        <f t="shared" si="43"/>
        <v>PASS</v>
      </c>
      <c r="J922" s="7" t="str">
        <f t="shared" si="44"/>
        <v>Low Risk</v>
      </c>
      <c r="L922" s="7" t="str">
        <f>IF(J922="High Risk",COUNTIF($J$3:J922,"High Risk"),"")</f>
        <v/>
      </c>
      <c r="M922" s="7">
        <f>RANK(H922,$H$3:$H$1002,0)+COUNTIF($H$3:H922,H922)-1</f>
        <v>182</v>
      </c>
    </row>
    <row r="923" spans="1:13" x14ac:dyDescent="0.35">
      <c r="A923" s="7" t="s">
        <v>1702</v>
      </c>
      <c r="B923" s="7" t="s">
        <v>67</v>
      </c>
      <c r="C923" s="8" t="s">
        <v>62</v>
      </c>
      <c r="D923" s="8" t="s">
        <v>57</v>
      </c>
      <c r="E923" s="8">
        <v>82.6</v>
      </c>
      <c r="F923" s="8">
        <v>7.2</v>
      </c>
      <c r="G923" s="8">
        <v>73</v>
      </c>
      <c r="H923" s="7">
        <f t="shared" si="42"/>
        <v>75.599999999999994</v>
      </c>
      <c r="I923" s="7" t="str">
        <f t="shared" si="43"/>
        <v>PASS</v>
      </c>
      <c r="J923" s="7" t="str">
        <f t="shared" si="44"/>
        <v>Low Risk</v>
      </c>
      <c r="L923" s="7" t="str">
        <f>IF(J923="High Risk",COUNTIF($J$3:J923,"High Risk"),"")</f>
        <v/>
      </c>
      <c r="M923" s="7">
        <f>RANK(H923,$H$3:$H$1002,0)+COUNTIF($H$3:H923,H923)-1</f>
        <v>315</v>
      </c>
    </row>
    <row r="924" spans="1:13" x14ac:dyDescent="0.35">
      <c r="A924" s="7" t="s">
        <v>1703</v>
      </c>
      <c r="B924" s="7" t="s">
        <v>1704</v>
      </c>
      <c r="C924" s="8" t="s">
        <v>62</v>
      </c>
      <c r="D924" s="8" t="s">
        <v>68</v>
      </c>
      <c r="E924" s="8">
        <v>74.900000000000006</v>
      </c>
      <c r="F924" s="8">
        <v>7.6</v>
      </c>
      <c r="G924" s="8">
        <v>78</v>
      </c>
      <c r="H924" s="7">
        <f t="shared" si="42"/>
        <v>76.5</v>
      </c>
      <c r="I924" s="7" t="str">
        <f t="shared" si="43"/>
        <v>PASS</v>
      </c>
      <c r="J924" s="7" t="str">
        <f t="shared" si="44"/>
        <v>Low Risk</v>
      </c>
      <c r="L924" s="7" t="str">
        <f>IF(J924="High Risk",COUNTIF($J$3:J924,"High Risk"),"")</f>
        <v/>
      </c>
      <c r="M924" s="7">
        <f>RANK(H924,$H$3:$H$1002,0)+COUNTIF($H$3:H924,H924)-1</f>
        <v>299</v>
      </c>
    </row>
    <row r="925" spans="1:13" x14ac:dyDescent="0.35">
      <c r="A925" s="7" t="s">
        <v>1705</v>
      </c>
      <c r="B925" s="7" t="s">
        <v>1706</v>
      </c>
      <c r="C925" s="8" t="s">
        <v>62</v>
      </c>
      <c r="D925" s="8" t="s">
        <v>75</v>
      </c>
      <c r="E925" s="8">
        <v>100</v>
      </c>
      <c r="F925" s="8">
        <v>4.5999999999999996</v>
      </c>
      <c r="G925" s="8">
        <v>72</v>
      </c>
      <c r="H925" s="7">
        <f t="shared" si="42"/>
        <v>72.599999999999994</v>
      </c>
      <c r="I925" s="7" t="str">
        <f t="shared" si="43"/>
        <v>PASS</v>
      </c>
      <c r="J925" s="7" t="str">
        <f t="shared" si="44"/>
        <v>Low Risk</v>
      </c>
      <c r="L925" s="7" t="str">
        <f>IF(J925="High Risk",COUNTIF($J$3:J925,"High Risk"),"")</f>
        <v/>
      </c>
      <c r="M925" s="7">
        <f>RANK(H925,$H$3:$H$1002,0)+COUNTIF($H$3:H925,H925)-1</f>
        <v>370</v>
      </c>
    </row>
    <row r="926" spans="1:13" x14ac:dyDescent="0.35">
      <c r="A926" s="7" t="s">
        <v>1707</v>
      </c>
      <c r="B926" s="7" t="s">
        <v>1708</v>
      </c>
      <c r="C926" s="8" t="s">
        <v>62</v>
      </c>
      <c r="D926" s="8" t="s">
        <v>57</v>
      </c>
      <c r="E926" s="8">
        <v>99.1</v>
      </c>
      <c r="F926" s="8">
        <v>12.7</v>
      </c>
      <c r="G926" s="8">
        <v>80</v>
      </c>
      <c r="H926" s="7">
        <f t="shared" si="42"/>
        <v>91.7</v>
      </c>
      <c r="I926" s="7" t="str">
        <f t="shared" si="43"/>
        <v>PASS</v>
      </c>
      <c r="J926" s="7" t="str">
        <f t="shared" si="44"/>
        <v>Low Risk</v>
      </c>
      <c r="L926" s="7" t="str">
        <f>IF(J926="High Risk",COUNTIF($J$3:J926,"High Risk"),"")</f>
        <v/>
      </c>
      <c r="M926" s="7">
        <f>RANK(H926,$H$3:$H$1002,0)+COUNTIF($H$3:H926,H926)-1</f>
        <v>86</v>
      </c>
    </row>
    <row r="927" spans="1:13" x14ac:dyDescent="0.35">
      <c r="A927" s="7" t="s">
        <v>1709</v>
      </c>
      <c r="B927" s="7" t="s">
        <v>1710</v>
      </c>
      <c r="C927" s="8" t="s">
        <v>56</v>
      </c>
      <c r="D927" s="8" t="s">
        <v>68</v>
      </c>
      <c r="E927" s="8">
        <v>68.3</v>
      </c>
      <c r="F927" s="8">
        <v>3.2</v>
      </c>
      <c r="G927" s="8">
        <v>50</v>
      </c>
      <c r="H927" s="7">
        <f t="shared" si="42"/>
        <v>50.1</v>
      </c>
      <c r="I927" s="7" t="str">
        <f t="shared" si="43"/>
        <v>PASS</v>
      </c>
      <c r="J927" s="7" t="str">
        <f t="shared" si="44"/>
        <v>Medium Risk</v>
      </c>
      <c r="L927" s="7" t="str">
        <f>IF(J927="High Risk",COUNTIF($J$3:J927,"High Risk"),"")</f>
        <v/>
      </c>
      <c r="M927" s="7">
        <f>RANK(H927,$H$3:$H$1002,0)+COUNTIF($H$3:H927,H927)-1</f>
        <v>802</v>
      </c>
    </row>
    <row r="928" spans="1:13" x14ac:dyDescent="0.35">
      <c r="A928" s="7" t="s">
        <v>1711</v>
      </c>
      <c r="B928" s="7" t="s">
        <v>1712</v>
      </c>
      <c r="C928" s="8" t="s">
        <v>56</v>
      </c>
      <c r="D928" s="8" t="s">
        <v>68</v>
      </c>
      <c r="E928" s="8">
        <v>70</v>
      </c>
      <c r="F928" s="8">
        <v>3.2</v>
      </c>
      <c r="G928" s="8">
        <v>62</v>
      </c>
      <c r="H928" s="7">
        <f t="shared" si="42"/>
        <v>55.4</v>
      </c>
      <c r="I928" s="7" t="str">
        <f t="shared" si="43"/>
        <v>PASS</v>
      </c>
      <c r="J928" s="7" t="str">
        <f t="shared" si="44"/>
        <v>Medium Risk</v>
      </c>
      <c r="L928" s="7" t="str">
        <f>IF(J928="High Risk",COUNTIF($J$3:J928,"High Risk"),"")</f>
        <v/>
      </c>
      <c r="M928" s="7">
        <f>RANK(H928,$H$3:$H$1002,0)+COUNTIF($H$3:H928,H928)-1</f>
        <v>705</v>
      </c>
    </row>
    <row r="929" spans="1:13" x14ac:dyDescent="0.35">
      <c r="A929" s="7" t="s">
        <v>1713</v>
      </c>
      <c r="B929" s="7" t="s">
        <v>442</v>
      </c>
      <c r="C929" s="8" t="s">
        <v>62</v>
      </c>
      <c r="D929" s="8" t="s">
        <v>63</v>
      </c>
      <c r="E929" s="8">
        <v>100</v>
      </c>
      <c r="F929" s="8">
        <v>9.8000000000000007</v>
      </c>
      <c r="G929" s="8">
        <v>99</v>
      </c>
      <c r="H929" s="7">
        <f t="shared" si="42"/>
        <v>99</v>
      </c>
      <c r="I929" s="7" t="str">
        <f t="shared" si="43"/>
        <v>PASS</v>
      </c>
      <c r="J929" s="7" t="str">
        <f t="shared" si="44"/>
        <v>Low Risk</v>
      </c>
      <c r="L929" s="7" t="str">
        <f>IF(J929="High Risk",COUNTIF($J$3:J929,"High Risk"),"")</f>
        <v/>
      </c>
      <c r="M929" s="7">
        <f>RANK(H929,$H$3:$H$1002,0)+COUNTIF($H$3:H929,H929)-1</f>
        <v>22</v>
      </c>
    </row>
    <row r="930" spans="1:13" x14ac:dyDescent="0.35">
      <c r="A930" s="7" t="s">
        <v>1714</v>
      </c>
      <c r="B930" s="7" t="s">
        <v>1715</v>
      </c>
      <c r="C930" s="8" t="s">
        <v>56</v>
      </c>
      <c r="D930" s="8" t="s">
        <v>75</v>
      </c>
      <c r="E930" s="8">
        <v>59.7</v>
      </c>
      <c r="F930" s="8">
        <v>0.5</v>
      </c>
      <c r="G930" s="8">
        <v>31</v>
      </c>
      <c r="H930" s="7">
        <f t="shared" si="42"/>
        <v>31.8</v>
      </c>
      <c r="I930" s="7" t="str">
        <f t="shared" si="43"/>
        <v>FAIL</v>
      </c>
      <c r="J930" s="7" t="str">
        <f t="shared" si="44"/>
        <v>High Risk</v>
      </c>
      <c r="L930" s="7">
        <f>IF(J930="High Risk",COUNTIF($J$3:J930,"High Risk"),"")</f>
        <v>182</v>
      </c>
      <c r="M930" s="7">
        <f>RANK(H930,$H$3:$H$1002,0)+COUNTIF($H$3:H930,H930)-1</f>
        <v>956</v>
      </c>
    </row>
    <row r="931" spans="1:13" x14ac:dyDescent="0.35">
      <c r="A931" s="7" t="s">
        <v>1716</v>
      </c>
      <c r="B931" s="7" t="s">
        <v>1717</v>
      </c>
      <c r="C931" s="8" t="s">
        <v>56</v>
      </c>
      <c r="D931" s="8" t="s">
        <v>57</v>
      </c>
      <c r="E931" s="8">
        <v>40</v>
      </c>
      <c r="F931" s="8">
        <v>0.9</v>
      </c>
      <c r="G931" s="8">
        <v>28</v>
      </c>
      <c r="H931" s="7">
        <f t="shared" si="42"/>
        <v>25.9</v>
      </c>
      <c r="I931" s="7" t="str">
        <f t="shared" si="43"/>
        <v>FAIL</v>
      </c>
      <c r="J931" s="7" t="str">
        <f t="shared" si="44"/>
        <v>High Risk</v>
      </c>
      <c r="L931" s="7">
        <f>IF(J931="High Risk",COUNTIF($J$3:J931,"High Risk"),"")</f>
        <v>183</v>
      </c>
      <c r="M931" s="7">
        <f>RANK(H931,$H$3:$H$1002,0)+COUNTIF($H$3:H931,H931)-1</f>
        <v>982</v>
      </c>
    </row>
    <row r="932" spans="1:13" x14ac:dyDescent="0.35">
      <c r="A932" s="7" t="s">
        <v>1718</v>
      </c>
      <c r="B932" s="7" t="s">
        <v>1719</v>
      </c>
      <c r="C932" s="8" t="s">
        <v>62</v>
      </c>
      <c r="D932" s="8" t="s">
        <v>75</v>
      </c>
      <c r="E932" s="8">
        <v>81.099999999999994</v>
      </c>
      <c r="F932" s="8">
        <v>8</v>
      </c>
      <c r="G932" s="8">
        <v>63</v>
      </c>
      <c r="H932" s="7">
        <f t="shared" si="42"/>
        <v>73.5</v>
      </c>
      <c r="I932" s="7" t="str">
        <f t="shared" si="43"/>
        <v>PASS</v>
      </c>
      <c r="J932" s="7" t="str">
        <f t="shared" si="44"/>
        <v>Low Risk</v>
      </c>
      <c r="L932" s="7" t="str">
        <f>IF(J932="High Risk",COUNTIF($J$3:J932,"High Risk"),"")</f>
        <v/>
      </c>
      <c r="M932" s="7">
        <f>RANK(H932,$H$3:$H$1002,0)+COUNTIF($H$3:H932,H932)-1</f>
        <v>348</v>
      </c>
    </row>
    <row r="933" spans="1:13" x14ac:dyDescent="0.35">
      <c r="A933" s="7" t="s">
        <v>1720</v>
      </c>
      <c r="B933" s="7" t="s">
        <v>1721</v>
      </c>
      <c r="C933" s="8" t="s">
        <v>62</v>
      </c>
      <c r="D933" s="8" t="s">
        <v>68</v>
      </c>
      <c r="E933" s="8">
        <v>84.7</v>
      </c>
      <c r="F933" s="8">
        <v>2.6</v>
      </c>
      <c r="G933" s="8">
        <v>51</v>
      </c>
      <c r="H933" s="7">
        <f t="shared" si="42"/>
        <v>53.6</v>
      </c>
      <c r="I933" s="7" t="str">
        <f t="shared" si="43"/>
        <v>PASS</v>
      </c>
      <c r="J933" s="7" t="str">
        <f t="shared" si="44"/>
        <v>Medium Risk</v>
      </c>
      <c r="L933" s="7" t="str">
        <f>IF(J933="High Risk",COUNTIF($J$3:J933,"High Risk"),"")</f>
        <v/>
      </c>
      <c r="M933" s="7">
        <f>RANK(H933,$H$3:$H$1002,0)+COUNTIF($H$3:H933,H933)-1</f>
        <v>744</v>
      </c>
    </row>
    <row r="934" spans="1:13" x14ac:dyDescent="0.35">
      <c r="A934" s="7" t="s">
        <v>1722</v>
      </c>
      <c r="B934" s="7" t="s">
        <v>1723</v>
      </c>
      <c r="C934" s="8" t="s">
        <v>62</v>
      </c>
      <c r="D934" s="8" t="s">
        <v>75</v>
      </c>
      <c r="E934" s="8">
        <v>98.7</v>
      </c>
      <c r="F934" s="8">
        <v>3.7</v>
      </c>
      <c r="G934" s="8">
        <v>78</v>
      </c>
      <c r="H934" s="7">
        <f t="shared" si="42"/>
        <v>71.900000000000006</v>
      </c>
      <c r="I934" s="7" t="str">
        <f t="shared" si="43"/>
        <v>PASS</v>
      </c>
      <c r="J934" s="7" t="str">
        <f t="shared" si="44"/>
        <v>Low Risk</v>
      </c>
      <c r="L934" s="7" t="str">
        <f>IF(J934="High Risk",COUNTIF($J$3:J934,"High Risk"),"")</f>
        <v/>
      </c>
      <c r="M934" s="7">
        <f>RANK(H934,$H$3:$H$1002,0)+COUNTIF($H$3:H934,H934)-1</f>
        <v>389</v>
      </c>
    </row>
    <row r="935" spans="1:13" x14ac:dyDescent="0.35">
      <c r="A935" s="7" t="s">
        <v>1724</v>
      </c>
      <c r="B935" s="7" t="s">
        <v>1725</v>
      </c>
      <c r="C935" s="8" t="s">
        <v>62</v>
      </c>
      <c r="D935" s="8" t="s">
        <v>57</v>
      </c>
      <c r="E935" s="8">
        <v>77.7</v>
      </c>
      <c r="F935" s="8">
        <v>5.9</v>
      </c>
      <c r="G935" s="8">
        <v>76</v>
      </c>
      <c r="H935" s="7">
        <f t="shared" si="42"/>
        <v>71.400000000000006</v>
      </c>
      <c r="I935" s="7" t="str">
        <f t="shared" si="43"/>
        <v>PASS</v>
      </c>
      <c r="J935" s="7" t="str">
        <f t="shared" si="44"/>
        <v>Low Risk</v>
      </c>
      <c r="L935" s="7" t="str">
        <f>IF(J935="High Risk",COUNTIF($J$3:J935,"High Risk"),"")</f>
        <v/>
      </c>
      <c r="M935" s="7">
        <f>RANK(H935,$H$3:$H$1002,0)+COUNTIF($H$3:H935,H935)-1</f>
        <v>401</v>
      </c>
    </row>
    <row r="936" spans="1:13" x14ac:dyDescent="0.35">
      <c r="A936" s="7" t="s">
        <v>1726</v>
      </c>
      <c r="B936" s="7" t="s">
        <v>985</v>
      </c>
      <c r="C936" s="8" t="s">
        <v>62</v>
      </c>
      <c r="D936" s="8" t="s">
        <v>68</v>
      </c>
      <c r="E936" s="8">
        <v>90.5</v>
      </c>
      <c r="F936" s="8">
        <v>7.7</v>
      </c>
      <c r="G936" s="8">
        <v>71</v>
      </c>
      <c r="H936" s="7">
        <f t="shared" si="42"/>
        <v>78.7</v>
      </c>
      <c r="I936" s="7" t="str">
        <f t="shared" si="43"/>
        <v>PASS</v>
      </c>
      <c r="J936" s="7" t="str">
        <f t="shared" si="44"/>
        <v>Low Risk</v>
      </c>
      <c r="L936" s="7" t="str">
        <f>IF(J936="High Risk",COUNTIF($J$3:J936,"High Risk"),"")</f>
        <v/>
      </c>
      <c r="M936" s="7">
        <f>RANK(H936,$H$3:$H$1002,0)+COUNTIF($H$3:H936,H936)-1</f>
        <v>268</v>
      </c>
    </row>
    <row r="937" spans="1:13" x14ac:dyDescent="0.35">
      <c r="A937" s="7" t="s">
        <v>1727</v>
      </c>
      <c r="B937" s="7" t="s">
        <v>1422</v>
      </c>
      <c r="C937" s="8" t="s">
        <v>62</v>
      </c>
      <c r="D937" s="8" t="s">
        <v>63</v>
      </c>
      <c r="E937" s="8">
        <v>89.3</v>
      </c>
      <c r="F937" s="8">
        <v>7.8</v>
      </c>
      <c r="G937" s="8">
        <v>79</v>
      </c>
      <c r="H937" s="7">
        <f t="shared" si="42"/>
        <v>81.8</v>
      </c>
      <c r="I937" s="7" t="str">
        <f t="shared" si="43"/>
        <v>PASS</v>
      </c>
      <c r="J937" s="7" t="str">
        <f t="shared" si="44"/>
        <v>Low Risk</v>
      </c>
      <c r="L937" s="7" t="str">
        <f>IF(J937="High Risk",COUNTIF($J$3:J937,"High Risk"),"")</f>
        <v/>
      </c>
      <c r="M937" s="7">
        <f>RANK(H937,$H$3:$H$1002,0)+COUNTIF($H$3:H937,H937)-1</f>
        <v>218</v>
      </c>
    </row>
    <row r="938" spans="1:13" x14ac:dyDescent="0.35">
      <c r="A938" s="7" t="s">
        <v>1728</v>
      </c>
      <c r="B938" s="7" t="s">
        <v>1035</v>
      </c>
      <c r="C938" s="8" t="s">
        <v>56</v>
      </c>
      <c r="D938" s="8" t="s">
        <v>68</v>
      </c>
      <c r="E938" s="8">
        <v>50</v>
      </c>
      <c r="F938" s="8">
        <v>4.0999999999999996</v>
      </c>
      <c r="G938" s="8">
        <v>69</v>
      </c>
      <c r="H938" s="7">
        <f t="shared" si="42"/>
        <v>54.9</v>
      </c>
      <c r="I938" s="7" t="str">
        <f t="shared" si="43"/>
        <v>PASS</v>
      </c>
      <c r="J938" s="7" t="str">
        <f t="shared" si="44"/>
        <v>Medium Risk</v>
      </c>
      <c r="L938" s="7" t="str">
        <f>IF(J938="High Risk",COUNTIF($J$3:J938,"High Risk"),"")</f>
        <v/>
      </c>
      <c r="M938" s="7">
        <f>RANK(H938,$H$3:$H$1002,0)+COUNTIF($H$3:H938,H938)-1</f>
        <v>717</v>
      </c>
    </row>
    <row r="939" spans="1:13" x14ac:dyDescent="0.35">
      <c r="A939" s="7" t="s">
        <v>1729</v>
      </c>
      <c r="B939" s="7" t="s">
        <v>930</v>
      </c>
      <c r="C939" s="8" t="s">
        <v>56</v>
      </c>
      <c r="D939" s="8" t="s">
        <v>63</v>
      </c>
      <c r="E939" s="8">
        <v>71.400000000000006</v>
      </c>
      <c r="F939" s="8">
        <v>5.4</v>
      </c>
      <c r="G939" s="8">
        <v>49</v>
      </c>
      <c r="H939" s="7">
        <f t="shared" si="42"/>
        <v>57.2</v>
      </c>
      <c r="I939" s="7" t="str">
        <f t="shared" si="43"/>
        <v>PASS</v>
      </c>
      <c r="J939" s="7" t="str">
        <f t="shared" si="44"/>
        <v>Medium Risk</v>
      </c>
      <c r="L939" s="7" t="str">
        <f>IF(J939="High Risk",COUNTIF($J$3:J939,"High Risk"),"")</f>
        <v/>
      </c>
      <c r="M939" s="7">
        <f>RANK(H939,$H$3:$H$1002,0)+COUNTIF($H$3:H939,H939)-1</f>
        <v>681</v>
      </c>
    </row>
    <row r="940" spans="1:13" x14ac:dyDescent="0.35">
      <c r="A940" s="7" t="s">
        <v>1730</v>
      </c>
      <c r="B940" s="7" t="s">
        <v>1454</v>
      </c>
      <c r="C940" s="8" t="s">
        <v>62</v>
      </c>
      <c r="D940" s="8" t="s">
        <v>63</v>
      </c>
      <c r="E940" s="8">
        <v>61.4</v>
      </c>
      <c r="F940" s="8">
        <v>1.2</v>
      </c>
      <c r="G940" s="8">
        <v>49</v>
      </c>
      <c r="H940" s="7">
        <f t="shared" si="42"/>
        <v>41.6</v>
      </c>
      <c r="I940" s="7" t="str">
        <f t="shared" si="43"/>
        <v>FAIL</v>
      </c>
      <c r="J940" s="7" t="str">
        <f t="shared" si="44"/>
        <v>High Risk</v>
      </c>
      <c r="L940" s="7">
        <f>IF(J940="High Risk",COUNTIF($J$3:J940,"High Risk"),"")</f>
        <v>184</v>
      </c>
      <c r="M940" s="7">
        <f>RANK(H940,$H$3:$H$1002,0)+COUNTIF($H$3:H940,H940)-1</f>
        <v>888</v>
      </c>
    </row>
    <row r="941" spans="1:13" x14ac:dyDescent="0.35">
      <c r="A941" s="7" t="s">
        <v>1731</v>
      </c>
      <c r="B941" s="7" t="s">
        <v>1571</v>
      </c>
      <c r="C941" s="8" t="s">
        <v>62</v>
      </c>
      <c r="D941" s="8" t="s">
        <v>57</v>
      </c>
      <c r="E941" s="8">
        <v>75.400000000000006</v>
      </c>
      <c r="F941" s="8">
        <v>3.5</v>
      </c>
      <c r="G941" s="8">
        <v>81</v>
      </c>
      <c r="H941" s="7">
        <f t="shared" si="42"/>
        <v>65.5</v>
      </c>
      <c r="I941" s="7" t="str">
        <f t="shared" si="43"/>
        <v>PASS</v>
      </c>
      <c r="J941" s="7" t="str">
        <f t="shared" si="44"/>
        <v>Low Risk</v>
      </c>
      <c r="L941" s="7" t="str">
        <f>IF(J941="High Risk",COUNTIF($J$3:J941,"High Risk"),"")</f>
        <v/>
      </c>
      <c r="M941" s="7">
        <f>RANK(H941,$H$3:$H$1002,0)+COUNTIF($H$3:H941,H941)-1</f>
        <v>523</v>
      </c>
    </row>
    <row r="942" spans="1:13" x14ac:dyDescent="0.35">
      <c r="A942" s="7" t="s">
        <v>1732</v>
      </c>
      <c r="B942" s="7" t="s">
        <v>1733</v>
      </c>
      <c r="C942" s="8" t="s">
        <v>56</v>
      </c>
      <c r="D942" s="8" t="s">
        <v>63</v>
      </c>
      <c r="E942" s="8">
        <v>85.5</v>
      </c>
      <c r="F942" s="8">
        <v>7.8</v>
      </c>
      <c r="G942" s="8">
        <v>66</v>
      </c>
      <c r="H942" s="7">
        <f t="shared" si="42"/>
        <v>75.5</v>
      </c>
      <c r="I942" s="7" t="str">
        <f t="shared" si="43"/>
        <v>PASS</v>
      </c>
      <c r="J942" s="7" t="str">
        <f t="shared" si="44"/>
        <v>Low Risk</v>
      </c>
      <c r="L942" s="7" t="str">
        <f>IF(J942="High Risk",COUNTIF($J$3:J942,"High Risk"),"")</f>
        <v/>
      </c>
      <c r="M942" s="7">
        <f>RANK(H942,$H$3:$H$1002,0)+COUNTIF($H$3:H942,H942)-1</f>
        <v>319</v>
      </c>
    </row>
    <row r="943" spans="1:13" x14ac:dyDescent="0.35">
      <c r="A943" s="7" t="s">
        <v>1734</v>
      </c>
      <c r="B943" s="7" t="s">
        <v>1735</v>
      </c>
      <c r="C943" s="8" t="s">
        <v>56</v>
      </c>
      <c r="D943" s="8" t="s">
        <v>57</v>
      </c>
      <c r="E943" s="8">
        <v>61.2</v>
      </c>
      <c r="F943" s="8">
        <v>5.3</v>
      </c>
      <c r="G943" s="8">
        <v>58</v>
      </c>
      <c r="H943" s="7">
        <f t="shared" si="42"/>
        <v>57.5</v>
      </c>
      <c r="I943" s="7" t="str">
        <f t="shared" si="43"/>
        <v>PASS</v>
      </c>
      <c r="J943" s="7" t="str">
        <f t="shared" si="44"/>
        <v>Medium Risk</v>
      </c>
      <c r="L943" s="7" t="str">
        <f>IF(J943="High Risk",COUNTIF($J$3:J943,"High Risk"),"")</f>
        <v/>
      </c>
      <c r="M943" s="7">
        <f>RANK(H943,$H$3:$H$1002,0)+COUNTIF($H$3:H943,H943)-1</f>
        <v>674</v>
      </c>
    </row>
    <row r="944" spans="1:13" x14ac:dyDescent="0.35">
      <c r="A944" s="7" t="s">
        <v>1736</v>
      </c>
      <c r="B944" s="7" t="s">
        <v>385</v>
      </c>
      <c r="C944" s="8" t="s">
        <v>62</v>
      </c>
      <c r="D944" s="8" t="s">
        <v>57</v>
      </c>
      <c r="E944" s="8">
        <v>90.3</v>
      </c>
      <c r="F944" s="8">
        <v>6</v>
      </c>
      <c r="G944" s="8">
        <v>67</v>
      </c>
      <c r="H944" s="7">
        <f t="shared" si="42"/>
        <v>71.900000000000006</v>
      </c>
      <c r="I944" s="7" t="str">
        <f t="shared" si="43"/>
        <v>PASS</v>
      </c>
      <c r="J944" s="7" t="str">
        <f t="shared" si="44"/>
        <v>Low Risk</v>
      </c>
      <c r="L944" s="7" t="str">
        <f>IF(J944="High Risk",COUNTIF($J$3:J944,"High Risk"),"")</f>
        <v/>
      </c>
      <c r="M944" s="7">
        <f>RANK(H944,$H$3:$H$1002,0)+COUNTIF($H$3:H944,H944)-1</f>
        <v>390</v>
      </c>
    </row>
    <row r="945" spans="1:13" x14ac:dyDescent="0.35">
      <c r="A945" s="7" t="s">
        <v>1737</v>
      </c>
      <c r="B945" s="7" t="s">
        <v>1139</v>
      </c>
      <c r="C945" s="8" t="s">
        <v>56</v>
      </c>
      <c r="D945" s="8" t="s">
        <v>63</v>
      </c>
      <c r="E945" s="8">
        <v>82.6</v>
      </c>
      <c r="F945" s="8">
        <v>4.5999999999999996</v>
      </c>
      <c r="G945" s="8">
        <v>57</v>
      </c>
      <c r="H945" s="7">
        <f t="shared" si="42"/>
        <v>61.4</v>
      </c>
      <c r="I945" s="7" t="str">
        <f t="shared" si="43"/>
        <v>PASS</v>
      </c>
      <c r="J945" s="7" t="str">
        <f t="shared" si="44"/>
        <v>Medium Risk</v>
      </c>
      <c r="L945" s="7" t="str">
        <f>IF(J945="High Risk",COUNTIF($J$3:J945,"High Risk"),"")</f>
        <v/>
      </c>
      <c r="M945" s="7">
        <f>RANK(H945,$H$3:$H$1002,0)+COUNTIF($H$3:H945,H945)-1</f>
        <v>598</v>
      </c>
    </row>
    <row r="946" spans="1:13" x14ac:dyDescent="0.35">
      <c r="A946" s="7" t="s">
        <v>1738</v>
      </c>
      <c r="B946" s="7" t="s">
        <v>689</v>
      </c>
      <c r="C946" s="8" t="s">
        <v>62</v>
      </c>
      <c r="D946" s="8" t="s">
        <v>63</v>
      </c>
      <c r="E946" s="8">
        <v>95.4</v>
      </c>
      <c r="F946" s="8">
        <v>9.4</v>
      </c>
      <c r="G946" s="8">
        <v>90</v>
      </c>
      <c r="H946" s="7">
        <f t="shared" si="42"/>
        <v>92.8</v>
      </c>
      <c r="I946" s="7" t="str">
        <f t="shared" si="43"/>
        <v>PASS</v>
      </c>
      <c r="J946" s="7" t="str">
        <f t="shared" si="44"/>
        <v>Low Risk</v>
      </c>
      <c r="L946" s="7" t="str">
        <f>IF(J946="High Risk",COUNTIF($J$3:J946,"High Risk"),"")</f>
        <v/>
      </c>
      <c r="M946" s="7">
        <f>RANK(H946,$H$3:$H$1002,0)+COUNTIF($H$3:H946,H946)-1</f>
        <v>77</v>
      </c>
    </row>
    <row r="947" spans="1:13" x14ac:dyDescent="0.35">
      <c r="A947" s="7" t="s">
        <v>1739</v>
      </c>
      <c r="B947" s="7" t="s">
        <v>1740</v>
      </c>
      <c r="C947" s="8" t="s">
        <v>56</v>
      </c>
      <c r="D947" s="8" t="s">
        <v>75</v>
      </c>
      <c r="E947" s="8">
        <v>44.9</v>
      </c>
      <c r="F947" s="8">
        <v>0</v>
      </c>
      <c r="G947" s="8">
        <v>35</v>
      </c>
      <c r="H947" s="7">
        <f t="shared" si="42"/>
        <v>27.5</v>
      </c>
      <c r="I947" s="7" t="str">
        <f t="shared" si="43"/>
        <v>FAIL</v>
      </c>
      <c r="J947" s="7" t="str">
        <f t="shared" si="44"/>
        <v>High Risk</v>
      </c>
      <c r="L947" s="7">
        <f>IF(J947="High Risk",COUNTIF($J$3:J947,"High Risk"),"")</f>
        <v>185</v>
      </c>
      <c r="M947" s="7">
        <f>RANK(H947,$H$3:$H$1002,0)+COUNTIF($H$3:H947,H947)-1</f>
        <v>976</v>
      </c>
    </row>
    <row r="948" spans="1:13" x14ac:dyDescent="0.35">
      <c r="A948" s="7" t="s">
        <v>1741</v>
      </c>
      <c r="B948" s="7" t="s">
        <v>661</v>
      </c>
      <c r="C948" s="8" t="s">
        <v>62</v>
      </c>
      <c r="D948" s="8" t="s">
        <v>75</v>
      </c>
      <c r="E948" s="8">
        <v>72.3</v>
      </c>
      <c r="F948" s="8">
        <v>4.4000000000000004</v>
      </c>
      <c r="G948" s="8">
        <v>56</v>
      </c>
      <c r="H948" s="7">
        <f t="shared" si="42"/>
        <v>57.3</v>
      </c>
      <c r="I948" s="7" t="str">
        <f t="shared" si="43"/>
        <v>PASS</v>
      </c>
      <c r="J948" s="7" t="str">
        <f t="shared" si="44"/>
        <v>Medium Risk</v>
      </c>
      <c r="L948" s="7" t="str">
        <f>IF(J948="High Risk",COUNTIF($J$3:J948,"High Risk"),"")</f>
        <v/>
      </c>
      <c r="M948" s="7">
        <f>RANK(H948,$H$3:$H$1002,0)+COUNTIF($H$3:H948,H948)-1</f>
        <v>677</v>
      </c>
    </row>
    <row r="949" spans="1:13" x14ac:dyDescent="0.35">
      <c r="A949" s="7" t="s">
        <v>1742</v>
      </c>
      <c r="B949" s="7" t="s">
        <v>1009</v>
      </c>
      <c r="C949" s="8" t="s">
        <v>62</v>
      </c>
      <c r="D949" s="8" t="s">
        <v>57</v>
      </c>
      <c r="E949" s="8">
        <v>67.3</v>
      </c>
      <c r="F949" s="8">
        <v>2.9</v>
      </c>
      <c r="G949" s="8">
        <v>62</v>
      </c>
      <c r="H949" s="7">
        <f t="shared" si="42"/>
        <v>53.7</v>
      </c>
      <c r="I949" s="7" t="str">
        <f t="shared" si="43"/>
        <v>PASS</v>
      </c>
      <c r="J949" s="7" t="str">
        <f t="shared" si="44"/>
        <v>Medium Risk</v>
      </c>
      <c r="L949" s="7" t="str">
        <f>IF(J949="High Risk",COUNTIF($J$3:J949,"High Risk"),"")</f>
        <v/>
      </c>
      <c r="M949" s="7">
        <f>RANK(H949,$H$3:$H$1002,0)+COUNTIF($H$3:H949,H949)-1</f>
        <v>741</v>
      </c>
    </row>
    <row r="950" spans="1:13" x14ac:dyDescent="0.35">
      <c r="A950" s="7" t="s">
        <v>1743</v>
      </c>
      <c r="B950" s="7" t="s">
        <v>1744</v>
      </c>
      <c r="C950" s="8" t="s">
        <v>56</v>
      </c>
      <c r="D950" s="8" t="s">
        <v>75</v>
      </c>
      <c r="E950" s="8">
        <v>84.3</v>
      </c>
      <c r="F950" s="8">
        <v>8.9</v>
      </c>
      <c r="G950" s="8">
        <v>82</v>
      </c>
      <c r="H950" s="7">
        <f t="shared" si="42"/>
        <v>84.8</v>
      </c>
      <c r="I950" s="7" t="str">
        <f t="shared" si="43"/>
        <v>PASS</v>
      </c>
      <c r="J950" s="7" t="str">
        <f t="shared" si="44"/>
        <v>Low Risk</v>
      </c>
      <c r="L950" s="7" t="str">
        <f>IF(J950="High Risk",COUNTIF($J$3:J950,"High Risk"),"")</f>
        <v/>
      </c>
      <c r="M950" s="7">
        <f>RANK(H950,$H$3:$H$1002,0)+COUNTIF($H$3:H950,H950)-1</f>
        <v>171</v>
      </c>
    </row>
    <row r="951" spans="1:13" x14ac:dyDescent="0.35">
      <c r="A951" s="7" t="s">
        <v>1745</v>
      </c>
      <c r="B951" s="7" t="s">
        <v>597</v>
      </c>
      <c r="C951" s="8" t="s">
        <v>62</v>
      </c>
      <c r="D951" s="8" t="s">
        <v>75</v>
      </c>
      <c r="E951" s="8">
        <v>76.099999999999994</v>
      </c>
      <c r="F951" s="8">
        <v>6.3</v>
      </c>
      <c r="G951" s="8">
        <v>65</v>
      </c>
      <c r="H951" s="7">
        <f t="shared" si="42"/>
        <v>67.7</v>
      </c>
      <c r="I951" s="7" t="str">
        <f t="shared" si="43"/>
        <v>PASS</v>
      </c>
      <c r="J951" s="7" t="str">
        <f t="shared" si="44"/>
        <v>Low Risk</v>
      </c>
      <c r="L951" s="7" t="str">
        <f>IF(J951="High Risk",COUNTIF($J$3:J951,"High Risk"),"")</f>
        <v/>
      </c>
      <c r="M951" s="7">
        <f>RANK(H951,$H$3:$H$1002,0)+COUNTIF($H$3:H951,H951)-1</f>
        <v>482</v>
      </c>
    </row>
    <row r="952" spans="1:13" x14ac:dyDescent="0.35">
      <c r="A952" s="7" t="s">
        <v>1746</v>
      </c>
      <c r="B952" s="7" t="s">
        <v>1747</v>
      </c>
      <c r="C952" s="8" t="s">
        <v>56</v>
      </c>
      <c r="D952" s="8" t="s">
        <v>75</v>
      </c>
      <c r="E952" s="8">
        <v>54.5</v>
      </c>
      <c r="F952" s="8">
        <v>2.8</v>
      </c>
      <c r="G952" s="8">
        <v>36</v>
      </c>
      <c r="H952" s="7">
        <f t="shared" si="42"/>
        <v>39.200000000000003</v>
      </c>
      <c r="I952" s="7" t="str">
        <f t="shared" si="43"/>
        <v>FAIL</v>
      </c>
      <c r="J952" s="7" t="str">
        <f t="shared" si="44"/>
        <v>High Risk</v>
      </c>
      <c r="L952" s="7">
        <f>IF(J952="High Risk",COUNTIF($J$3:J952,"High Risk"),"")</f>
        <v>186</v>
      </c>
      <c r="M952" s="7">
        <f>RANK(H952,$H$3:$H$1002,0)+COUNTIF($H$3:H952,H952)-1</f>
        <v>912</v>
      </c>
    </row>
    <row r="953" spans="1:13" x14ac:dyDescent="0.35">
      <c r="A953" s="7" t="s">
        <v>1748</v>
      </c>
      <c r="B953" s="7" t="s">
        <v>1092</v>
      </c>
      <c r="C953" s="8" t="s">
        <v>56</v>
      </c>
      <c r="D953" s="8" t="s">
        <v>57</v>
      </c>
      <c r="E953" s="8">
        <v>65.099999999999994</v>
      </c>
      <c r="F953" s="8">
        <v>6.6</v>
      </c>
      <c r="G953" s="8">
        <v>51</v>
      </c>
      <c r="H953" s="7">
        <f t="shared" si="42"/>
        <v>59.7</v>
      </c>
      <c r="I953" s="7" t="str">
        <f t="shared" si="43"/>
        <v>PASS</v>
      </c>
      <c r="J953" s="7" t="str">
        <f t="shared" si="44"/>
        <v>Medium Risk</v>
      </c>
      <c r="L953" s="7" t="str">
        <f>IF(J953="High Risk",COUNTIF($J$3:J953,"High Risk"),"")</f>
        <v/>
      </c>
      <c r="M953" s="7">
        <f>RANK(H953,$H$3:$H$1002,0)+COUNTIF($H$3:H953,H953)-1</f>
        <v>632</v>
      </c>
    </row>
    <row r="954" spans="1:13" x14ac:dyDescent="0.35">
      <c r="A954" s="7" t="s">
        <v>1749</v>
      </c>
      <c r="B954" s="7" t="s">
        <v>364</v>
      </c>
      <c r="C954" s="8" t="s">
        <v>56</v>
      </c>
      <c r="D954" s="8" t="s">
        <v>68</v>
      </c>
      <c r="E954" s="8">
        <v>79.3</v>
      </c>
      <c r="F954" s="8">
        <v>2.4</v>
      </c>
      <c r="G954" s="8">
        <v>62</v>
      </c>
      <c r="H954" s="7">
        <f t="shared" si="42"/>
        <v>55.8</v>
      </c>
      <c r="I954" s="7" t="str">
        <f t="shared" si="43"/>
        <v>PASS</v>
      </c>
      <c r="J954" s="7" t="str">
        <f t="shared" si="44"/>
        <v>Medium Risk</v>
      </c>
      <c r="L954" s="7" t="str">
        <f>IF(J954="High Risk",COUNTIF($J$3:J954,"High Risk"),"")</f>
        <v/>
      </c>
      <c r="M954" s="7">
        <f>RANK(H954,$H$3:$H$1002,0)+COUNTIF($H$3:H954,H954)-1</f>
        <v>700</v>
      </c>
    </row>
    <row r="955" spans="1:13" x14ac:dyDescent="0.35">
      <c r="A955" s="7" t="s">
        <v>1750</v>
      </c>
      <c r="B955" s="7" t="s">
        <v>891</v>
      </c>
      <c r="C955" s="8" t="s">
        <v>62</v>
      </c>
      <c r="D955" s="8" t="s">
        <v>68</v>
      </c>
      <c r="E955" s="8">
        <v>83.4</v>
      </c>
      <c r="F955" s="8">
        <v>6.6</v>
      </c>
      <c r="G955" s="8">
        <v>59</v>
      </c>
      <c r="H955" s="7">
        <f t="shared" si="42"/>
        <v>68.400000000000006</v>
      </c>
      <c r="I955" s="7" t="str">
        <f t="shared" si="43"/>
        <v>PASS</v>
      </c>
      <c r="J955" s="7" t="str">
        <f t="shared" si="44"/>
        <v>Low Risk</v>
      </c>
      <c r="L955" s="7" t="str">
        <f>IF(J955="High Risk",COUNTIF($J$3:J955,"High Risk"),"")</f>
        <v/>
      </c>
      <c r="M955" s="7">
        <f>RANK(H955,$H$3:$H$1002,0)+COUNTIF($H$3:H955,H955)-1</f>
        <v>468</v>
      </c>
    </row>
    <row r="956" spans="1:13" x14ac:dyDescent="0.35">
      <c r="A956" s="7" t="s">
        <v>1751</v>
      </c>
      <c r="B956" s="7" t="s">
        <v>1752</v>
      </c>
      <c r="C956" s="8" t="s">
        <v>56</v>
      </c>
      <c r="D956" s="8" t="s">
        <v>57</v>
      </c>
      <c r="E956" s="8">
        <v>73.900000000000006</v>
      </c>
      <c r="F956" s="8">
        <v>4.5999999999999996</v>
      </c>
      <c r="G956" s="8">
        <v>57</v>
      </c>
      <c r="H956" s="7">
        <f t="shared" si="42"/>
        <v>58.8</v>
      </c>
      <c r="I956" s="7" t="str">
        <f t="shared" si="43"/>
        <v>PASS</v>
      </c>
      <c r="J956" s="7" t="str">
        <f t="shared" si="44"/>
        <v>Medium Risk</v>
      </c>
      <c r="L956" s="7" t="str">
        <f>IF(J956="High Risk",COUNTIF($J$3:J956,"High Risk"),"")</f>
        <v/>
      </c>
      <c r="M956" s="7">
        <f>RANK(H956,$H$3:$H$1002,0)+COUNTIF($H$3:H956,H956)-1</f>
        <v>646</v>
      </c>
    </row>
    <row r="957" spans="1:13" x14ac:dyDescent="0.35">
      <c r="A957" s="7" t="s">
        <v>1753</v>
      </c>
      <c r="B957" s="7" t="s">
        <v>216</v>
      </c>
      <c r="C957" s="8" t="s">
        <v>62</v>
      </c>
      <c r="D957" s="8" t="s">
        <v>68</v>
      </c>
      <c r="E957" s="8">
        <v>55.6</v>
      </c>
      <c r="F957" s="8">
        <v>0.1</v>
      </c>
      <c r="G957" s="8">
        <v>38</v>
      </c>
      <c r="H957" s="7">
        <f t="shared" si="42"/>
        <v>32.200000000000003</v>
      </c>
      <c r="I957" s="7" t="str">
        <f t="shared" si="43"/>
        <v>FAIL</v>
      </c>
      <c r="J957" s="7" t="str">
        <f t="shared" si="44"/>
        <v>High Risk</v>
      </c>
      <c r="L957" s="7">
        <f>IF(J957="High Risk",COUNTIF($J$3:J957,"High Risk"),"")</f>
        <v>187</v>
      </c>
      <c r="M957" s="7">
        <f>RANK(H957,$H$3:$H$1002,0)+COUNTIF($H$3:H957,H957)-1</f>
        <v>954</v>
      </c>
    </row>
    <row r="958" spans="1:13" x14ac:dyDescent="0.35">
      <c r="A958" s="7" t="s">
        <v>1754</v>
      </c>
      <c r="B958" s="7" t="s">
        <v>849</v>
      </c>
      <c r="C958" s="8" t="s">
        <v>62</v>
      </c>
      <c r="D958" s="8" t="s">
        <v>68</v>
      </c>
      <c r="E958" s="8">
        <v>49.8</v>
      </c>
      <c r="F958" s="8">
        <v>4.8</v>
      </c>
      <c r="G958" s="8">
        <v>55</v>
      </c>
      <c r="H958" s="7">
        <f t="shared" si="42"/>
        <v>51.3</v>
      </c>
      <c r="I958" s="7" t="str">
        <f t="shared" si="43"/>
        <v>PASS</v>
      </c>
      <c r="J958" s="7" t="str">
        <f t="shared" si="44"/>
        <v>Medium Risk</v>
      </c>
      <c r="L958" s="7" t="str">
        <f>IF(J958="High Risk",COUNTIF($J$3:J958,"High Risk"),"")</f>
        <v/>
      </c>
      <c r="M958" s="7">
        <f>RANK(H958,$H$3:$H$1002,0)+COUNTIF($H$3:H958,H958)-1</f>
        <v>781</v>
      </c>
    </row>
    <row r="959" spans="1:13" x14ac:dyDescent="0.35">
      <c r="A959" s="7" t="s">
        <v>1755</v>
      </c>
      <c r="B959" s="7" t="s">
        <v>1614</v>
      </c>
      <c r="C959" s="8" t="s">
        <v>56</v>
      </c>
      <c r="D959" s="8" t="s">
        <v>57</v>
      </c>
      <c r="E959" s="8">
        <v>100</v>
      </c>
      <c r="F959" s="8">
        <v>11.5</v>
      </c>
      <c r="G959" s="8">
        <v>100</v>
      </c>
      <c r="H959" s="7">
        <f t="shared" si="42"/>
        <v>100</v>
      </c>
      <c r="I959" s="7" t="str">
        <f t="shared" si="43"/>
        <v>PASS</v>
      </c>
      <c r="J959" s="7" t="str">
        <f t="shared" si="44"/>
        <v>Low Risk</v>
      </c>
      <c r="L959" s="7" t="str">
        <f>IF(J959="High Risk",COUNTIF($J$3:J959,"High Risk"),"")</f>
        <v/>
      </c>
      <c r="M959" s="7">
        <f>RANK(H959,$H$3:$H$1002,0)+COUNTIF($H$3:H959,H959)-1</f>
        <v>12</v>
      </c>
    </row>
    <row r="960" spans="1:13" x14ac:dyDescent="0.35">
      <c r="A960" s="7" t="s">
        <v>1756</v>
      </c>
      <c r="B960" s="7" t="s">
        <v>1757</v>
      </c>
      <c r="C960" s="8" t="s">
        <v>56</v>
      </c>
      <c r="D960" s="8" t="s">
        <v>63</v>
      </c>
      <c r="E960" s="8">
        <v>72.400000000000006</v>
      </c>
      <c r="F960" s="8">
        <v>5.8</v>
      </c>
      <c r="G960" s="8">
        <v>75</v>
      </c>
      <c r="H960" s="7">
        <f t="shared" si="42"/>
        <v>69.099999999999994</v>
      </c>
      <c r="I960" s="7" t="str">
        <f t="shared" si="43"/>
        <v>PASS</v>
      </c>
      <c r="J960" s="7" t="str">
        <f t="shared" si="44"/>
        <v>Low Risk</v>
      </c>
      <c r="L960" s="7" t="str">
        <f>IF(J960="High Risk",COUNTIF($J$3:J960,"High Risk"),"")</f>
        <v/>
      </c>
      <c r="M960" s="7">
        <f>RANK(H960,$H$3:$H$1002,0)+COUNTIF($H$3:H960,H960)-1</f>
        <v>451</v>
      </c>
    </row>
    <row r="961" spans="1:13" x14ac:dyDescent="0.35">
      <c r="A961" s="7" t="s">
        <v>1758</v>
      </c>
      <c r="B961" s="7" t="s">
        <v>1759</v>
      </c>
      <c r="C961" s="8" t="s">
        <v>62</v>
      </c>
      <c r="D961" s="8" t="s">
        <v>57</v>
      </c>
      <c r="E961" s="8">
        <v>87.6</v>
      </c>
      <c r="F961" s="8">
        <v>7.4</v>
      </c>
      <c r="G961" s="8">
        <v>88</v>
      </c>
      <c r="H961" s="7">
        <f t="shared" si="42"/>
        <v>83.7</v>
      </c>
      <c r="I961" s="7" t="str">
        <f t="shared" si="43"/>
        <v>PASS</v>
      </c>
      <c r="J961" s="7" t="str">
        <f t="shared" si="44"/>
        <v>Low Risk</v>
      </c>
      <c r="L961" s="7" t="str">
        <f>IF(J961="High Risk",COUNTIF($J$3:J961,"High Risk"),"")</f>
        <v/>
      </c>
      <c r="M961" s="7">
        <f>RANK(H961,$H$3:$H$1002,0)+COUNTIF($H$3:H961,H961)-1</f>
        <v>187</v>
      </c>
    </row>
    <row r="962" spans="1:13" x14ac:dyDescent="0.35">
      <c r="A962" s="7" t="s">
        <v>1760</v>
      </c>
      <c r="B962" s="7" t="s">
        <v>1001</v>
      </c>
      <c r="C962" s="8" t="s">
        <v>56</v>
      </c>
      <c r="D962" s="8" t="s">
        <v>63</v>
      </c>
      <c r="E962" s="8">
        <v>90.8</v>
      </c>
      <c r="F962" s="8">
        <v>7.3</v>
      </c>
      <c r="G962" s="8">
        <v>69</v>
      </c>
      <c r="H962" s="7">
        <f t="shared" si="42"/>
        <v>76.7</v>
      </c>
      <c r="I962" s="7" t="str">
        <f t="shared" si="43"/>
        <v>PASS</v>
      </c>
      <c r="J962" s="7" t="str">
        <f t="shared" si="44"/>
        <v>Low Risk</v>
      </c>
      <c r="L962" s="7" t="str">
        <f>IF(J962="High Risk",COUNTIF($J$3:J962,"High Risk"),"")</f>
        <v/>
      </c>
      <c r="M962" s="7">
        <f>RANK(H962,$H$3:$H$1002,0)+COUNTIF($H$3:H962,H962)-1</f>
        <v>295</v>
      </c>
    </row>
    <row r="963" spans="1:13" x14ac:dyDescent="0.35">
      <c r="A963" s="7" t="s">
        <v>1761</v>
      </c>
      <c r="B963" s="7" t="s">
        <v>1762</v>
      </c>
      <c r="C963" s="8" t="s">
        <v>56</v>
      </c>
      <c r="D963" s="8" t="s">
        <v>68</v>
      </c>
      <c r="E963" s="8">
        <v>64.3</v>
      </c>
      <c r="F963" s="8">
        <v>1.3</v>
      </c>
      <c r="G963" s="8">
        <v>51</v>
      </c>
      <c r="H963" s="7">
        <f t="shared" ref="H963:H1002" si="45">ROUND(0.4*G963+0.3*E963+0.3*MIN(F963/10,1)*100,1)</f>
        <v>43.6</v>
      </c>
      <c r="I963" s="7" t="str">
        <f t="shared" ref="I963:I1002" si="46">IF(H963&gt;=50,"PASS","FAIL")</f>
        <v>FAIL</v>
      </c>
      <c r="J963" s="7" t="str">
        <f t="shared" ref="J963:J1002" si="47">IF(H963&lt;50,"High Risk",IF(H963&lt;65,"Medium Risk","Low Risk"))</f>
        <v>High Risk</v>
      </c>
      <c r="L963" s="7">
        <f>IF(J963="High Risk",COUNTIF($J$3:J963,"High Risk"),"")</f>
        <v>188</v>
      </c>
      <c r="M963" s="7">
        <f>RANK(H963,$H$3:$H$1002,0)+COUNTIF($H$3:H963,H963)-1</f>
        <v>865</v>
      </c>
    </row>
    <row r="964" spans="1:13" x14ac:dyDescent="0.35">
      <c r="A964" s="7" t="s">
        <v>1763</v>
      </c>
      <c r="B964" s="7" t="s">
        <v>1764</v>
      </c>
      <c r="C964" s="8" t="s">
        <v>62</v>
      </c>
      <c r="D964" s="8" t="s">
        <v>75</v>
      </c>
      <c r="E964" s="8">
        <v>49.9</v>
      </c>
      <c r="F964" s="8">
        <v>5.6</v>
      </c>
      <c r="G964" s="8">
        <v>35</v>
      </c>
      <c r="H964" s="7">
        <f t="shared" si="45"/>
        <v>45.8</v>
      </c>
      <c r="I964" s="7" t="str">
        <f t="shared" si="46"/>
        <v>FAIL</v>
      </c>
      <c r="J964" s="7" t="str">
        <f t="shared" si="47"/>
        <v>High Risk</v>
      </c>
      <c r="L964" s="7">
        <f>IF(J964="High Risk",COUNTIF($J$3:J964,"High Risk"),"")</f>
        <v>189</v>
      </c>
      <c r="M964" s="7">
        <f>RANK(H964,$H$3:$H$1002,0)+COUNTIF($H$3:H964,H964)-1</f>
        <v>848</v>
      </c>
    </row>
    <row r="965" spans="1:13" x14ac:dyDescent="0.35">
      <c r="A965" s="7" t="s">
        <v>1765</v>
      </c>
      <c r="B965" s="7" t="s">
        <v>1766</v>
      </c>
      <c r="C965" s="8" t="s">
        <v>62</v>
      </c>
      <c r="D965" s="8" t="s">
        <v>57</v>
      </c>
      <c r="E965" s="8">
        <v>95.8</v>
      </c>
      <c r="F965" s="8">
        <v>7.9</v>
      </c>
      <c r="G965" s="8">
        <v>83</v>
      </c>
      <c r="H965" s="7">
        <f t="shared" si="45"/>
        <v>85.6</v>
      </c>
      <c r="I965" s="7" t="str">
        <f t="shared" si="46"/>
        <v>PASS</v>
      </c>
      <c r="J965" s="7" t="str">
        <f t="shared" si="47"/>
        <v>Low Risk</v>
      </c>
      <c r="L965" s="7" t="str">
        <f>IF(J965="High Risk",COUNTIF($J$3:J965,"High Risk"),"")</f>
        <v/>
      </c>
      <c r="M965" s="7">
        <f>RANK(H965,$H$3:$H$1002,0)+COUNTIF($H$3:H965,H965)-1</f>
        <v>161</v>
      </c>
    </row>
    <row r="966" spans="1:13" x14ac:dyDescent="0.35">
      <c r="A966" s="7" t="s">
        <v>1767</v>
      </c>
      <c r="B966" s="7" t="s">
        <v>1080</v>
      </c>
      <c r="C966" s="8" t="s">
        <v>62</v>
      </c>
      <c r="D966" s="8" t="s">
        <v>57</v>
      </c>
      <c r="E966" s="8">
        <v>51.5</v>
      </c>
      <c r="F966" s="8">
        <v>1.6</v>
      </c>
      <c r="G966" s="8">
        <v>52</v>
      </c>
      <c r="H966" s="7">
        <f t="shared" si="45"/>
        <v>41.1</v>
      </c>
      <c r="I966" s="7" t="str">
        <f t="shared" si="46"/>
        <v>FAIL</v>
      </c>
      <c r="J966" s="7" t="str">
        <f t="shared" si="47"/>
        <v>High Risk</v>
      </c>
      <c r="L966" s="7">
        <f>IF(J966="High Risk",COUNTIF($J$3:J966,"High Risk"),"")</f>
        <v>190</v>
      </c>
      <c r="M966" s="7">
        <f>RANK(H966,$H$3:$H$1002,0)+COUNTIF($H$3:H966,H966)-1</f>
        <v>892</v>
      </c>
    </row>
    <row r="967" spans="1:13" x14ac:dyDescent="0.35">
      <c r="A967" s="7" t="s">
        <v>1768</v>
      </c>
      <c r="B967" s="7" t="s">
        <v>287</v>
      </c>
      <c r="C967" s="8" t="s">
        <v>56</v>
      </c>
      <c r="D967" s="8" t="s">
        <v>57</v>
      </c>
      <c r="E967" s="8">
        <v>73.8</v>
      </c>
      <c r="F967" s="8">
        <v>5.7</v>
      </c>
      <c r="G967" s="8">
        <v>74</v>
      </c>
      <c r="H967" s="7">
        <f t="shared" si="45"/>
        <v>68.8</v>
      </c>
      <c r="I967" s="7" t="str">
        <f t="shared" si="46"/>
        <v>PASS</v>
      </c>
      <c r="J967" s="7" t="str">
        <f t="shared" si="47"/>
        <v>Low Risk</v>
      </c>
      <c r="L967" s="7" t="str">
        <f>IF(J967="High Risk",COUNTIF($J$3:J967,"High Risk"),"")</f>
        <v/>
      </c>
      <c r="M967" s="7">
        <f>RANK(H967,$H$3:$H$1002,0)+COUNTIF($H$3:H967,H967)-1</f>
        <v>458</v>
      </c>
    </row>
    <row r="968" spans="1:13" x14ac:dyDescent="0.35">
      <c r="A968" s="7" t="s">
        <v>1769</v>
      </c>
      <c r="B968" s="7" t="s">
        <v>1770</v>
      </c>
      <c r="C968" s="8" t="s">
        <v>62</v>
      </c>
      <c r="D968" s="8" t="s">
        <v>68</v>
      </c>
      <c r="E968" s="8">
        <v>62.6</v>
      </c>
      <c r="F968" s="8">
        <v>7.5</v>
      </c>
      <c r="G968" s="8">
        <v>54</v>
      </c>
      <c r="H968" s="7">
        <f t="shared" si="45"/>
        <v>62.9</v>
      </c>
      <c r="I968" s="7" t="str">
        <f t="shared" si="46"/>
        <v>PASS</v>
      </c>
      <c r="J968" s="7" t="str">
        <f t="shared" si="47"/>
        <v>Medium Risk</v>
      </c>
      <c r="L968" s="7" t="str">
        <f>IF(J968="High Risk",COUNTIF($J$3:J968,"High Risk"),"")</f>
        <v/>
      </c>
      <c r="M968" s="7">
        <f>RANK(H968,$H$3:$H$1002,0)+COUNTIF($H$3:H968,H968)-1</f>
        <v>564</v>
      </c>
    </row>
    <row r="969" spans="1:13" x14ac:dyDescent="0.35">
      <c r="A969" s="7" t="s">
        <v>1771</v>
      </c>
      <c r="B969" s="7" t="s">
        <v>1772</v>
      </c>
      <c r="C969" s="8" t="s">
        <v>62</v>
      </c>
      <c r="D969" s="8" t="s">
        <v>68</v>
      </c>
      <c r="E969" s="8">
        <v>60.7</v>
      </c>
      <c r="F969" s="8">
        <v>0</v>
      </c>
      <c r="G969" s="8">
        <v>60</v>
      </c>
      <c r="H969" s="7">
        <f t="shared" si="45"/>
        <v>42.2</v>
      </c>
      <c r="I969" s="7" t="str">
        <f t="shared" si="46"/>
        <v>FAIL</v>
      </c>
      <c r="J969" s="7" t="str">
        <f t="shared" si="47"/>
        <v>High Risk</v>
      </c>
      <c r="L969" s="7">
        <f>IF(J969="High Risk",COUNTIF($J$3:J969,"High Risk"),"")</f>
        <v>191</v>
      </c>
      <c r="M969" s="7">
        <f>RANK(H969,$H$3:$H$1002,0)+COUNTIF($H$3:H969,H969)-1</f>
        <v>882</v>
      </c>
    </row>
    <row r="970" spans="1:13" x14ac:dyDescent="0.35">
      <c r="A970" s="7" t="s">
        <v>1773</v>
      </c>
      <c r="B970" s="7" t="s">
        <v>1774</v>
      </c>
      <c r="C970" s="8" t="s">
        <v>56</v>
      </c>
      <c r="D970" s="8" t="s">
        <v>75</v>
      </c>
      <c r="E970" s="8">
        <v>63</v>
      </c>
      <c r="F970" s="8">
        <v>6.8</v>
      </c>
      <c r="G970" s="8">
        <v>68</v>
      </c>
      <c r="H970" s="7">
        <f t="shared" si="45"/>
        <v>66.5</v>
      </c>
      <c r="I970" s="7" t="str">
        <f t="shared" si="46"/>
        <v>PASS</v>
      </c>
      <c r="J970" s="7" t="str">
        <f t="shared" si="47"/>
        <v>Low Risk</v>
      </c>
      <c r="L970" s="7" t="str">
        <f>IF(J970="High Risk",COUNTIF($J$3:J970,"High Risk"),"")</f>
        <v/>
      </c>
      <c r="M970" s="7">
        <f>RANK(H970,$H$3:$H$1002,0)+COUNTIF($H$3:H970,H970)-1</f>
        <v>502</v>
      </c>
    </row>
    <row r="971" spans="1:13" x14ac:dyDescent="0.35">
      <c r="A971" s="7" t="s">
        <v>1775</v>
      </c>
      <c r="B971" s="7" t="s">
        <v>405</v>
      </c>
      <c r="C971" s="8" t="s">
        <v>62</v>
      </c>
      <c r="D971" s="8" t="s">
        <v>75</v>
      </c>
      <c r="E971" s="8">
        <v>87.5</v>
      </c>
      <c r="F971" s="8">
        <v>8.3000000000000007</v>
      </c>
      <c r="G971" s="8">
        <v>80</v>
      </c>
      <c r="H971" s="7">
        <f t="shared" si="45"/>
        <v>83.2</v>
      </c>
      <c r="I971" s="7" t="str">
        <f t="shared" si="46"/>
        <v>PASS</v>
      </c>
      <c r="J971" s="7" t="str">
        <f t="shared" si="47"/>
        <v>Low Risk</v>
      </c>
      <c r="L971" s="7" t="str">
        <f>IF(J971="High Risk",COUNTIF($J$3:J971,"High Risk"),"")</f>
        <v/>
      </c>
      <c r="M971" s="7">
        <f>RANK(H971,$H$3:$H$1002,0)+COUNTIF($H$3:H971,H971)-1</f>
        <v>193</v>
      </c>
    </row>
    <row r="972" spans="1:13" x14ac:dyDescent="0.35">
      <c r="A972" s="7" t="s">
        <v>1776</v>
      </c>
      <c r="B972" s="7" t="s">
        <v>1777</v>
      </c>
      <c r="C972" s="8" t="s">
        <v>56</v>
      </c>
      <c r="D972" s="8" t="s">
        <v>57</v>
      </c>
      <c r="E972" s="8">
        <v>66.400000000000006</v>
      </c>
      <c r="F972" s="8">
        <v>6.7</v>
      </c>
      <c r="G972" s="8">
        <v>54</v>
      </c>
      <c r="H972" s="7">
        <f t="shared" si="45"/>
        <v>61.6</v>
      </c>
      <c r="I972" s="7" t="str">
        <f t="shared" si="46"/>
        <v>PASS</v>
      </c>
      <c r="J972" s="7" t="str">
        <f t="shared" si="47"/>
        <v>Medium Risk</v>
      </c>
      <c r="L972" s="7" t="str">
        <f>IF(J972="High Risk",COUNTIF($J$3:J972,"High Risk"),"")</f>
        <v/>
      </c>
      <c r="M972" s="7">
        <f>RANK(H972,$H$3:$H$1002,0)+COUNTIF($H$3:H972,H972)-1</f>
        <v>593</v>
      </c>
    </row>
    <row r="973" spans="1:13" x14ac:dyDescent="0.35">
      <c r="A973" s="7" t="s">
        <v>1778</v>
      </c>
      <c r="B973" s="7" t="s">
        <v>1779</v>
      </c>
      <c r="C973" s="8" t="s">
        <v>56</v>
      </c>
      <c r="D973" s="8" t="s">
        <v>57</v>
      </c>
      <c r="E973" s="8">
        <v>88</v>
      </c>
      <c r="F973" s="8">
        <v>0.8</v>
      </c>
      <c r="G973" s="8">
        <v>70</v>
      </c>
      <c r="H973" s="7">
        <f t="shared" si="45"/>
        <v>56.8</v>
      </c>
      <c r="I973" s="7" t="str">
        <f t="shared" si="46"/>
        <v>PASS</v>
      </c>
      <c r="J973" s="7" t="str">
        <f t="shared" si="47"/>
        <v>Medium Risk</v>
      </c>
      <c r="L973" s="7" t="str">
        <f>IF(J973="High Risk",COUNTIF($J$3:J973,"High Risk"),"")</f>
        <v/>
      </c>
      <c r="M973" s="7">
        <f>RANK(H973,$H$3:$H$1002,0)+COUNTIF($H$3:H973,H973)-1</f>
        <v>692</v>
      </c>
    </row>
    <row r="974" spans="1:13" x14ac:dyDescent="0.35">
      <c r="A974" s="7" t="s">
        <v>1780</v>
      </c>
      <c r="B974" s="7" t="s">
        <v>1470</v>
      </c>
      <c r="C974" s="8" t="s">
        <v>62</v>
      </c>
      <c r="D974" s="8" t="s">
        <v>63</v>
      </c>
      <c r="E974" s="8">
        <v>39.1</v>
      </c>
      <c r="F974" s="8">
        <v>3.2</v>
      </c>
      <c r="G974" s="8">
        <v>24</v>
      </c>
      <c r="H974" s="7">
        <f t="shared" si="45"/>
        <v>30.9</v>
      </c>
      <c r="I974" s="7" t="str">
        <f t="shared" si="46"/>
        <v>FAIL</v>
      </c>
      <c r="J974" s="7" t="str">
        <f t="shared" si="47"/>
        <v>High Risk</v>
      </c>
      <c r="L974" s="7">
        <f>IF(J974="High Risk",COUNTIF($J$3:J974,"High Risk"),"")</f>
        <v>192</v>
      </c>
      <c r="M974" s="7">
        <f>RANK(H974,$H$3:$H$1002,0)+COUNTIF($H$3:H974,H974)-1</f>
        <v>962</v>
      </c>
    </row>
    <row r="975" spans="1:13" x14ac:dyDescent="0.35">
      <c r="A975" s="7" t="s">
        <v>1781</v>
      </c>
      <c r="B975" s="7" t="s">
        <v>1782</v>
      </c>
      <c r="C975" s="8" t="s">
        <v>56</v>
      </c>
      <c r="D975" s="8" t="s">
        <v>68</v>
      </c>
      <c r="E975" s="8">
        <v>63</v>
      </c>
      <c r="F975" s="8">
        <v>3.9</v>
      </c>
      <c r="G975" s="8">
        <v>47</v>
      </c>
      <c r="H975" s="7">
        <f t="shared" si="45"/>
        <v>49.4</v>
      </c>
      <c r="I975" s="7" t="str">
        <f t="shared" si="46"/>
        <v>FAIL</v>
      </c>
      <c r="J975" s="7" t="str">
        <f t="shared" si="47"/>
        <v>High Risk</v>
      </c>
      <c r="L975" s="7">
        <f>IF(J975="High Risk",COUNTIF($J$3:J975,"High Risk"),"")</f>
        <v>193</v>
      </c>
      <c r="M975" s="7">
        <f>RANK(H975,$H$3:$H$1002,0)+COUNTIF($H$3:H975,H975)-1</f>
        <v>808</v>
      </c>
    </row>
    <row r="976" spans="1:13" x14ac:dyDescent="0.35">
      <c r="A976" s="7" t="s">
        <v>1783</v>
      </c>
      <c r="B976" s="7" t="s">
        <v>1784</v>
      </c>
      <c r="C976" s="8" t="s">
        <v>56</v>
      </c>
      <c r="D976" s="8" t="s">
        <v>63</v>
      </c>
      <c r="E976" s="8">
        <v>76.5</v>
      </c>
      <c r="F976" s="8">
        <v>4.8</v>
      </c>
      <c r="G976" s="8">
        <v>66</v>
      </c>
      <c r="H976" s="7">
        <f t="shared" si="45"/>
        <v>63.8</v>
      </c>
      <c r="I976" s="7" t="str">
        <f t="shared" si="46"/>
        <v>PASS</v>
      </c>
      <c r="J976" s="7" t="str">
        <f t="shared" si="47"/>
        <v>Medium Risk</v>
      </c>
      <c r="L976" s="7" t="str">
        <f>IF(J976="High Risk",COUNTIF($J$3:J976,"High Risk"),"")</f>
        <v/>
      </c>
      <c r="M976" s="7">
        <f>RANK(H976,$H$3:$H$1002,0)+COUNTIF($H$3:H976,H976)-1</f>
        <v>555</v>
      </c>
    </row>
    <row r="977" spans="1:13" x14ac:dyDescent="0.35">
      <c r="A977" s="7" t="s">
        <v>1785</v>
      </c>
      <c r="B977" s="7" t="s">
        <v>320</v>
      </c>
      <c r="C977" s="8" t="s">
        <v>56</v>
      </c>
      <c r="D977" s="8" t="s">
        <v>68</v>
      </c>
      <c r="E977" s="8">
        <v>80</v>
      </c>
      <c r="F977" s="8">
        <v>6.7</v>
      </c>
      <c r="G977" s="8">
        <v>80</v>
      </c>
      <c r="H977" s="7">
        <f t="shared" si="45"/>
        <v>76.099999999999994</v>
      </c>
      <c r="I977" s="7" t="str">
        <f t="shared" si="46"/>
        <v>PASS</v>
      </c>
      <c r="J977" s="7" t="str">
        <f t="shared" si="47"/>
        <v>Low Risk</v>
      </c>
      <c r="L977" s="7" t="str">
        <f>IF(J977="High Risk",COUNTIF($J$3:J977,"High Risk"),"")</f>
        <v/>
      </c>
      <c r="M977" s="7">
        <f>RANK(H977,$H$3:$H$1002,0)+COUNTIF($H$3:H977,H977)-1</f>
        <v>306</v>
      </c>
    </row>
    <row r="978" spans="1:13" x14ac:dyDescent="0.35">
      <c r="A978" s="7" t="s">
        <v>1786</v>
      </c>
      <c r="B978" s="7" t="s">
        <v>326</v>
      </c>
      <c r="C978" s="8" t="s">
        <v>62</v>
      </c>
      <c r="D978" s="8" t="s">
        <v>57</v>
      </c>
      <c r="E978" s="8">
        <v>61.1</v>
      </c>
      <c r="F978" s="8">
        <v>6.9</v>
      </c>
      <c r="G978" s="8">
        <v>67</v>
      </c>
      <c r="H978" s="7">
        <f t="shared" si="45"/>
        <v>65.8</v>
      </c>
      <c r="I978" s="7" t="str">
        <f t="shared" si="46"/>
        <v>PASS</v>
      </c>
      <c r="J978" s="7" t="str">
        <f t="shared" si="47"/>
        <v>Low Risk</v>
      </c>
      <c r="L978" s="7" t="str">
        <f>IF(J978="High Risk",COUNTIF($J$3:J978,"High Risk"),"")</f>
        <v/>
      </c>
      <c r="M978" s="7">
        <f>RANK(H978,$H$3:$H$1002,0)+COUNTIF($H$3:H978,H978)-1</f>
        <v>515</v>
      </c>
    </row>
    <row r="979" spans="1:13" x14ac:dyDescent="0.35">
      <c r="A979" s="7" t="s">
        <v>1787</v>
      </c>
      <c r="B979" s="7" t="s">
        <v>409</v>
      </c>
      <c r="C979" s="8" t="s">
        <v>62</v>
      </c>
      <c r="D979" s="8" t="s">
        <v>63</v>
      </c>
      <c r="E979" s="8">
        <v>90.4</v>
      </c>
      <c r="F979" s="8">
        <v>5</v>
      </c>
      <c r="G979" s="8">
        <v>73</v>
      </c>
      <c r="H979" s="7">
        <f t="shared" si="45"/>
        <v>71.3</v>
      </c>
      <c r="I979" s="7" t="str">
        <f t="shared" si="46"/>
        <v>PASS</v>
      </c>
      <c r="J979" s="7" t="str">
        <f t="shared" si="47"/>
        <v>Low Risk</v>
      </c>
      <c r="L979" s="7" t="str">
        <f>IF(J979="High Risk",COUNTIF($J$3:J979,"High Risk"),"")</f>
        <v/>
      </c>
      <c r="M979" s="7">
        <f>RANK(H979,$H$3:$H$1002,0)+COUNTIF($H$3:H979,H979)-1</f>
        <v>403</v>
      </c>
    </row>
    <row r="980" spans="1:13" x14ac:dyDescent="0.35">
      <c r="A980" s="7" t="s">
        <v>1788</v>
      </c>
      <c r="B980" s="7" t="s">
        <v>912</v>
      </c>
      <c r="C980" s="8" t="s">
        <v>56</v>
      </c>
      <c r="D980" s="8" t="s">
        <v>63</v>
      </c>
      <c r="E980" s="8">
        <v>62.5</v>
      </c>
      <c r="F980" s="8">
        <v>3.1</v>
      </c>
      <c r="G980" s="8">
        <v>59</v>
      </c>
      <c r="H980" s="7">
        <f t="shared" si="45"/>
        <v>51.7</v>
      </c>
      <c r="I980" s="7" t="str">
        <f t="shared" si="46"/>
        <v>PASS</v>
      </c>
      <c r="J980" s="7" t="str">
        <f t="shared" si="47"/>
        <v>Medium Risk</v>
      </c>
      <c r="L980" s="7" t="str">
        <f>IF(J980="High Risk",COUNTIF($J$3:J980,"High Risk"),"")</f>
        <v/>
      </c>
      <c r="M980" s="7">
        <f>RANK(H980,$H$3:$H$1002,0)+COUNTIF($H$3:H980,H980)-1</f>
        <v>776</v>
      </c>
    </row>
    <row r="981" spans="1:13" x14ac:dyDescent="0.35">
      <c r="A981" s="7" t="s">
        <v>1789</v>
      </c>
      <c r="B981" s="7" t="s">
        <v>1790</v>
      </c>
      <c r="C981" s="8" t="s">
        <v>62</v>
      </c>
      <c r="D981" s="8" t="s">
        <v>57</v>
      </c>
      <c r="E981" s="8">
        <v>52.5</v>
      </c>
      <c r="F981" s="8">
        <v>4.5</v>
      </c>
      <c r="G981" s="8">
        <v>24</v>
      </c>
      <c r="H981" s="7">
        <f t="shared" si="45"/>
        <v>38.9</v>
      </c>
      <c r="I981" s="7" t="str">
        <f t="shared" si="46"/>
        <v>FAIL</v>
      </c>
      <c r="J981" s="7" t="str">
        <f t="shared" si="47"/>
        <v>High Risk</v>
      </c>
      <c r="L981" s="7">
        <f>IF(J981="High Risk",COUNTIF($J$3:J981,"High Risk"),"")</f>
        <v>194</v>
      </c>
      <c r="M981" s="7">
        <f>RANK(H981,$H$3:$H$1002,0)+COUNTIF($H$3:H981,H981)-1</f>
        <v>914</v>
      </c>
    </row>
    <row r="982" spans="1:13" x14ac:dyDescent="0.35">
      <c r="A982" s="7" t="s">
        <v>1791</v>
      </c>
      <c r="B982" s="7" t="s">
        <v>1792</v>
      </c>
      <c r="C982" s="8" t="s">
        <v>62</v>
      </c>
      <c r="D982" s="8" t="s">
        <v>57</v>
      </c>
      <c r="E982" s="8">
        <v>100</v>
      </c>
      <c r="F982" s="8">
        <v>11.2</v>
      </c>
      <c r="G982" s="8">
        <v>91</v>
      </c>
      <c r="H982" s="7">
        <f t="shared" si="45"/>
        <v>96.4</v>
      </c>
      <c r="I982" s="7" t="str">
        <f t="shared" si="46"/>
        <v>PASS</v>
      </c>
      <c r="J982" s="7" t="str">
        <f t="shared" si="47"/>
        <v>Low Risk</v>
      </c>
      <c r="L982" s="7" t="str">
        <f>IF(J982="High Risk",COUNTIF($J$3:J982,"High Risk"),"")</f>
        <v/>
      </c>
      <c r="M982" s="7">
        <f>RANK(H982,$H$3:$H$1002,0)+COUNTIF($H$3:H982,H982)-1</f>
        <v>43</v>
      </c>
    </row>
    <row r="983" spans="1:13" x14ac:dyDescent="0.35">
      <c r="A983" s="7" t="s">
        <v>1793</v>
      </c>
      <c r="B983" s="7" t="s">
        <v>1794</v>
      </c>
      <c r="C983" s="8" t="s">
        <v>62</v>
      </c>
      <c r="D983" s="8" t="s">
        <v>57</v>
      </c>
      <c r="E983" s="8">
        <v>100</v>
      </c>
      <c r="F983" s="8">
        <v>8.5</v>
      </c>
      <c r="G983" s="8">
        <v>80</v>
      </c>
      <c r="H983" s="7">
        <f t="shared" si="45"/>
        <v>87.5</v>
      </c>
      <c r="I983" s="7" t="str">
        <f t="shared" si="46"/>
        <v>PASS</v>
      </c>
      <c r="J983" s="7" t="str">
        <f t="shared" si="47"/>
        <v>Low Risk</v>
      </c>
      <c r="L983" s="7" t="str">
        <f>IF(J983="High Risk",COUNTIF($J$3:J983,"High Risk"),"")</f>
        <v/>
      </c>
      <c r="M983" s="7">
        <f>RANK(H983,$H$3:$H$1002,0)+COUNTIF($H$3:H983,H983)-1</f>
        <v>134</v>
      </c>
    </row>
    <row r="984" spans="1:13" x14ac:dyDescent="0.35">
      <c r="A984" s="7" t="s">
        <v>1795</v>
      </c>
      <c r="B984" s="7" t="s">
        <v>1664</v>
      </c>
      <c r="C984" s="8" t="s">
        <v>56</v>
      </c>
      <c r="D984" s="8" t="s">
        <v>68</v>
      </c>
      <c r="E984" s="8">
        <v>88.5</v>
      </c>
      <c r="F984" s="8">
        <v>7.5</v>
      </c>
      <c r="G984" s="8">
        <v>100</v>
      </c>
      <c r="H984" s="7">
        <f t="shared" si="45"/>
        <v>89.1</v>
      </c>
      <c r="I984" s="7" t="str">
        <f t="shared" si="46"/>
        <v>PASS</v>
      </c>
      <c r="J984" s="7" t="str">
        <f t="shared" si="47"/>
        <v>Low Risk</v>
      </c>
      <c r="L984" s="7" t="str">
        <f>IF(J984="High Risk",COUNTIF($J$3:J984,"High Risk"),"")</f>
        <v/>
      </c>
      <c r="M984" s="7">
        <f>RANK(H984,$H$3:$H$1002,0)+COUNTIF($H$3:H984,H984)-1</f>
        <v>116</v>
      </c>
    </row>
    <row r="985" spans="1:13" x14ac:dyDescent="0.35">
      <c r="A985" s="7" t="s">
        <v>1796</v>
      </c>
      <c r="B985" s="7" t="s">
        <v>1797</v>
      </c>
      <c r="C985" s="8" t="s">
        <v>62</v>
      </c>
      <c r="D985" s="8" t="s">
        <v>75</v>
      </c>
      <c r="E985" s="8">
        <v>71.8</v>
      </c>
      <c r="F985" s="8">
        <v>5.4</v>
      </c>
      <c r="G985" s="8">
        <v>44</v>
      </c>
      <c r="H985" s="7">
        <f t="shared" si="45"/>
        <v>55.3</v>
      </c>
      <c r="I985" s="7" t="str">
        <f t="shared" si="46"/>
        <v>PASS</v>
      </c>
      <c r="J985" s="7" t="str">
        <f t="shared" si="47"/>
        <v>Medium Risk</v>
      </c>
      <c r="L985" s="7" t="str">
        <f>IF(J985="High Risk",COUNTIF($J$3:J985,"High Risk"),"")</f>
        <v/>
      </c>
      <c r="M985" s="7">
        <f>RANK(H985,$H$3:$H$1002,0)+COUNTIF($H$3:H985,H985)-1</f>
        <v>708</v>
      </c>
    </row>
    <row r="986" spans="1:13" x14ac:dyDescent="0.35">
      <c r="A986" s="7" t="s">
        <v>1798</v>
      </c>
      <c r="B986" s="7" t="s">
        <v>1799</v>
      </c>
      <c r="C986" s="8" t="s">
        <v>56</v>
      </c>
      <c r="D986" s="8" t="s">
        <v>75</v>
      </c>
      <c r="E986" s="8">
        <v>89.9</v>
      </c>
      <c r="F986" s="8">
        <v>7.5</v>
      </c>
      <c r="G986" s="8">
        <v>60</v>
      </c>
      <c r="H986" s="7">
        <f t="shared" si="45"/>
        <v>73.5</v>
      </c>
      <c r="I986" s="7" t="str">
        <f t="shared" si="46"/>
        <v>PASS</v>
      </c>
      <c r="J986" s="7" t="str">
        <f t="shared" si="47"/>
        <v>Low Risk</v>
      </c>
      <c r="L986" s="7" t="str">
        <f>IF(J986="High Risk",COUNTIF($J$3:J986,"High Risk"),"")</f>
        <v/>
      </c>
      <c r="M986" s="7">
        <f>RANK(H986,$H$3:$H$1002,0)+COUNTIF($H$3:H986,H986)-1</f>
        <v>349</v>
      </c>
    </row>
    <row r="987" spans="1:13" x14ac:dyDescent="0.35">
      <c r="A987" s="7" t="s">
        <v>1800</v>
      </c>
      <c r="B987" s="7" t="s">
        <v>1686</v>
      </c>
      <c r="C987" s="8" t="s">
        <v>62</v>
      </c>
      <c r="D987" s="8" t="s">
        <v>68</v>
      </c>
      <c r="E987" s="8">
        <v>69.8</v>
      </c>
      <c r="F987" s="8">
        <v>4.5</v>
      </c>
      <c r="G987" s="8">
        <v>59</v>
      </c>
      <c r="H987" s="7">
        <f t="shared" si="45"/>
        <v>58</v>
      </c>
      <c r="I987" s="7" t="str">
        <f t="shared" si="46"/>
        <v>PASS</v>
      </c>
      <c r="J987" s="7" t="str">
        <f t="shared" si="47"/>
        <v>Medium Risk</v>
      </c>
      <c r="L987" s="7" t="str">
        <f>IF(J987="High Risk",COUNTIF($J$3:J987,"High Risk"),"")</f>
        <v/>
      </c>
      <c r="M987" s="7">
        <f>RANK(H987,$H$3:$H$1002,0)+COUNTIF($H$3:H987,H987)-1</f>
        <v>662</v>
      </c>
    </row>
    <row r="988" spans="1:13" x14ac:dyDescent="0.35">
      <c r="A988" s="7" t="s">
        <v>1801</v>
      </c>
      <c r="B988" s="7" t="s">
        <v>1802</v>
      </c>
      <c r="C988" s="8" t="s">
        <v>62</v>
      </c>
      <c r="D988" s="8" t="s">
        <v>63</v>
      </c>
      <c r="E988" s="8">
        <v>81.599999999999994</v>
      </c>
      <c r="F988" s="8">
        <v>7</v>
      </c>
      <c r="G988" s="8">
        <v>77</v>
      </c>
      <c r="H988" s="7">
        <f t="shared" si="45"/>
        <v>76.3</v>
      </c>
      <c r="I988" s="7" t="str">
        <f t="shared" si="46"/>
        <v>PASS</v>
      </c>
      <c r="J988" s="7" t="str">
        <f t="shared" si="47"/>
        <v>Low Risk</v>
      </c>
      <c r="L988" s="7" t="str">
        <f>IF(J988="High Risk",COUNTIF($J$3:J988,"High Risk"),"")</f>
        <v/>
      </c>
      <c r="M988" s="7">
        <f>RANK(H988,$H$3:$H$1002,0)+COUNTIF($H$3:H988,H988)-1</f>
        <v>303</v>
      </c>
    </row>
    <row r="989" spans="1:13" x14ac:dyDescent="0.35">
      <c r="A989" s="7" t="s">
        <v>1803</v>
      </c>
      <c r="B989" s="7" t="s">
        <v>1723</v>
      </c>
      <c r="C989" s="8" t="s">
        <v>62</v>
      </c>
      <c r="D989" s="8" t="s">
        <v>63</v>
      </c>
      <c r="E989" s="8">
        <v>78.5</v>
      </c>
      <c r="F989" s="8">
        <v>7</v>
      </c>
      <c r="G989" s="8">
        <v>58</v>
      </c>
      <c r="H989" s="7">
        <f t="shared" si="45"/>
        <v>67.8</v>
      </c>
      <c r="I989" s="7" t="str">
        <f t="shared" si="46"/>
        <v>PASS</v>
      </c>
      <c r="J989" s="7" t="str">
        <f t="shared" si="47"/>
        <v>Low Risk</v>
      </c>
      <c r="L989" s="7" t="str">
        <f>IF(J989="High Risk",COUNTIF($J$3:J989,"High Risk"),"")</f>
        <v/>
      </c>
      <c r="M989" s="7">
        <f>RANK(H989,$H$3:$H$1002,0)+COUNTIF($H$3:H989,H989)-1</f>
        <v>479</v>
      </c>
    </row>
    <row r="990" spans="1:13" x14ac:dyDescent="0.35">
      <c r="A990" s="7" t="s">
        <v>1804</v>
      </c>
      <c r="B990" s="7" t="s">
        <v>452</v>
      </c>
      <c r="C990" s="8" t="s">
        <v>56</v>
      </c>
      <c r="D990" s="8" t="s">
        <v>75</v>
      </c>
      <c r="E990" s="8">
        <v>63.7</v>
      </c>
      <c r="F990" s="8">
        <v>3</v>
      </c>
      <c r="G990" s="8">
        <v>36</v>
      </c>
      <c r="H990" s="7">
        <f t="shared" si="45"/>
        <v>42.5</v>
      </c>
      <c r="I990" s="7" t="str">
        <f t="shared" si="46"/>
        <v>FAIL</v>
      </c>
      <c r="J990" s="7" t="str">
        <f t="shared" si="47"/>
        <v>High Risk</v>
      </c>
      <c r="L990" s="7">
        <f>IF(J990="High Risk",COUNTIF($J$3:J990,"High Risk"),"")</f>
        <v>195</v>
      </c>
      <c r="M990" s="7">
        <f>RANK(H990,$H$3:$H$1002,0)+COUNTIF($H$3:H990,H990)-1</f>
        <v>879</v>
      </c>
    </row>
    <row r="991" spans="1:13" x14ac:dyDescent="0.35">
      <c r="A991" s="7" t="s">
        <v>1805</v>
      </c>
      <c r="B991" s="7" t="s">
        <v>1806</v>
      </c>
      <c r="C991" s="8" t="s">
        <v>62</v>
      </c>
      <c r="D991" s="8" t="s">
        <v>75</v>
      </c>
      <c r="E991" s="8">
        <v>99.2</v>
      </c>
      <c r="F991" s="8">
        <v>10.5</v>
      </c>
      <c r="G991" s="8">
        <v>90</v>
      </c>
      <c r="H991" s="7">
        <f t="shared" si="45"/>
        <v>95.8</v>
      </c>
      <c r="I991" s="7" t="str">
        <f t="shared" si="46"/>
        <v>PASS</v>
      </c>
      <c r="J991" s="7" t="str">
        <f t="shared" si="47"/>
        <v>Low Risk</v>
      </c>
      <c r="L991" s="7" t="str">
        <f>IF(J991="High Risk",COUNTIF($J$3:J991,"High Risk"),"")</f>
        <v/>
      </c>
      <c r="M991" s="7">
        <f>RANK(H991,$H$3:$H$1002,0)+COUNTIF($H$3:H991,H991)-1</f>
        <v>49</v>
      </c>
    </row>
    <row r="992" spans="1:13" x14ac:dyDescent="0.35">
      <c r="A992" s="7" t="s">
        <v>1807</v>
      </c>
      <c r="B992" s="7" t="s">
        <v>1808</v>
      </c>
      <c r="C992" s="8" t="s">
        <v>56</v>
      </c>
      <c r="D992" s="8" t="s">
        <v>68</v>
      </c>
      <c r="E992" s="8">
        <v>67.8</v>
      </c>
      <c r="F992" s="8">
        <v>5.0999999999999996</v>
      </c>
      <c r="G992" s="8">
        <v>74</v>
      </c>
      <c r="H992" s="7">
        <f t="shared" si="45"/>
        <v>65.2</v>
      </c>
      <c r="I992" s="7" t="str">
        <f t="shared" si="46"/>
        <v>PASS</v>
      </c>
      <c r="J992" s="7" t="str">
        <f t="shared" si="47"/>
        <v>Low Risk</v>
      </c>
      <c r="L992" s="7" t="str">
        <f>IF(J992="High Risk",COUNTIF($J$3:J992,"High Risk"),"")</f>
        <v/>
      </c>
      <c r="M992" s="7">
        <f>RANK(H992,$H$3:$H$1002,0)+COUNTIF($H$3:H992,H992)-1</f>
        <v>529</v>
      </c>
    </row>
    <row r="993" spans="1:13" x14ac:dyDescent="0.35">
      <c r="A993" s="7" t="s">
        <v>1809</v>
      </c>
      <c r="B993" s="7" t="s">
        <v>1534</v>
      </c>
      <c r="C993" s="8" t="s">
        <v>56</v>
      </c>
      <c r="D993" s="8" t="s">
        <v>75</v>
      </c>
      <c r="E993" s="8">
        <v>67.8</v>
      </c>
      <c r="F993" s="8">
        <v>5.5</v>
      </c>
      <c r="G993" s="8">
        <v>60</v>
      </c>
      <c r="H993" s="7">
        <f t="shared" si="45"/>
        <v>60.8</v>
      </c>
      <c r="I993" s="7" t="str">
        <f t="shared" si="46"/>
        <v>PASS</v>
      </c>
      <c r="J993" s="7" t="str">
        <f t="shared" si="47"/>
        <v>Medium Risk</v>
      </c>
      <c r="L993" s="7" t="str">
        <f>IF(J993="High Risk",COUNTIF($J$3:J993,"High Risk"),"")</f>
        <v/>
      </c>
      <c r="M993" s="7">
        <f>RANK(H993,$H$3:$H$1002,0)+COUNTIF($H$3:H993,H993)-1</f>
        <v>605</v>
      </c>
    </row>
    <row r="994" spans="1:13" x14ac:dyDescent="0.35">
      <c r="A994" s="7" t="s">
        <v>1810</v>
      </c>
      <c r="B994" s="7" t="s">
        <v>1811</v>
      </c>
      <c r="C994" s="8" t="s">
        <v>56</v>
      </c>
      <c r="D994" s="8" t="s">
        <v>75</v>
      </c>
      <c r="E994" s="8">
        <v>97.2</v>
      </c>
      <c r="F994" s="8">
        <v>6.6</v>
      </c>
      <c r="G994" s="8">
        <v>75</v>
      </c>
      <c r="H994" s="7">
        <f t="shared" si="45"/>
        <v>79</v>
      </c>
      <c r="I994" s="7" t="str">
        <f t="shared" si="46"/>
        <v>PASS</v>
      </c>
      <c r="J994" s="7" t="str">
        <f t="shared" si="47"/>
        <v>Low Risk</v>
      </c>
      <c r="L994" s="7" t="str">
        <f>IF(J994="High Risk",COUNTIF($J$3:J994,"High Risk"),"")</f>
        <v/>
      </c>
      <c r="M994" s="7">
        <f>RANK(H994,$H$3:$H$1002,0)+COUNTIF($H$3:H994,H994)-1</f>
        <v>264</v>
      </c>
    </row>
    <row r="995" spans="1:13" x14ac:dyDescent="0.35">
      <c r="A995" s="7" t="s">
        <v>1812</v>
      </c>
      <c r="B995" s="7" t="s">
        <v>1426</v>
      </c>
      <c r="C995" s="8" t="s">
        <v>62</v>
      </c>
      <c r="D995" s="8" t="s">
        <v>57</v>
      </c>
      <c r="E995" s="8">
        <v>100</v>
      </c>
      <c r="F995" s="8">
        <v>8.9</v>
      </c>
      <c r="G995" s="8">
        <v>95</v>
      </c>
      <c r="H995" s="7">
        <f t="shared" si="45"/>
        <v>94.7</v>
      </c>
      <c r="I995" s="7" t="str">
        <f t="shared" si="46"/>
        <v>PASS</v>
      </c>
      <c r="J995" s="7" t="str">
        <f t="shared" si="47"/>
        <v>Low Risk</v>
      </c>
      <c r="L995" s="7" t="str">
        <f>IF(J995="High Risk",COUNTIF($J$3:J995,"High Risk"),"")</f>
        <v/>
      </c>
      <c r="M995" s="7">
        <f>RANK(H995,$H$3:$H$1002,0)+COUNTIF($H$3:H995,H995)-1</f>
        <v>60</v>
      </c>
    </row>
    <row r="996" spans="1:13" x14ac:dyDescent="0.35">
      <c r="A996" s="7" t="s">
        <v>1813</v>
      </c>
      <c r="B996" s="7" t="s">
        <v>1814</v>
      </c>
      <c r="C996" s="8" t="s">
        <v>62</v>
      </c>
      <c r="D996" s="8" t="s">
        <v>75</v>
      </c>
      <c r="E996" s="8">
        <v>45.7</v>
      </c>
      <c r="F996" s="8">
        <v>3.6</v>
      </c>
      <c r="G996" s="8">
        <v>34</v>
      </c>
      <c r="H996" s="7">
        <f t="shared" si="45"/>
        <v>38.1</v>
      </c>
      <c r="I996" s="7" t="str">
        <f t="shared" si="46"/>
        <v>FAIL</v>
      </c>
      <c r="J996" s="7" t="str">
        <f t="shared" si="47"/>
        <v>High Risk</v>
      </c>
      <c r="L996" s="7">
        <f>IF(J996="High Risk",COUNTIF($J$3:J996,"High Risk"),"")</f>
        <v>196</v>
      </c>
      <c r="M996" s="7">
        <f>RANK(H996,$H$3:$H$1002,0)+COUNTIF($H$3:H996,H996)-1</f>
        <v>923</v>
      </c>
    </row>
    <row r="997" spans="1:13" x14ac:dyDescent="0.35">
      <c r="A997" s="7" t="s">
        <v>1815</v>
      </c>
      <c r="B997" s="7" t="s">
        <v>1224</v>
      </c>
      <c r="C997" s="8" t="s">
        <v>62</v>
      </c>
      <c r="D997" s="8" t="s">
        <v>68</v>
      </c>
      <c r="E997" s="8">
        <v>36.1</v>
      </c>
      <c r="F997" s="8">
        <v>0</v>
      </c>
      <c r="G997" s="8">
        <v>21</v>
      </c>
      <c r="H997" s="7">
        <f t="shared" si="45"/>
        <v>19.2</v>
      </c>
      <c r="I997" s="7" t="str">
        <f t="shared" si="46"/>
        <v>FAIL</v>
      </c>
      <c r="J997" s="7" t="str">
        <f t="shared" si="47"/>
        <v>High Risk</v>
      </c>
      <c r="L997" s="7">
        <f>IF(J997="High Risk",COUNTIF($J$3:J997,"High Risk"),"")</f>
        <v>197</v>
      </c>
      <c r="M997" s="7">
        <f>RANK(H997,$H$3:$H$1002,0)+COUNTIF($H$3:H997,H997)-1</f>
        <v>996</v>
      </c>
    </row>
    <row r="998" spans="1:13" x14ac:dyDescent="0.35">
      <c r="A998" s="7" t="s">
        <v>1816</v>
      </c>
      <c r="B998" s="7" t="s">
        <v>1817</v>
      </c>
      <c r="C998" s="8" t="s">
        <v>56</v>
      </c>
      <c r="D998" s="8" t="s">
        <v>75</v>
      </c>
      <c r="E998" s="8">
        <v>90.7</v>
      </c>
      <c r="F998" s="8">
        <v>6.2</v>
      </c>
      <c r="G998" s="8">
        <v>81</v>
      </c>
      <c r="H998" s="7">
        <f t="shared" si="45"/>
        <v>78.2</v>
      </c>
      <c r="I998" s="7" t="str">
        <f t="shared" si="46"/>
        <v>PASS</v>
      </c>
      <c r="J998" s="7" t="str">
        <f t="shared" si="47"/>
        <v>Low Risk</v>
      </c>
      <c r="L998" s="7" t="str">
        <f>IF(J998="High Risk",COUNTIF($J$3:J998,"High Risk"),"")</f>
        <v/>
      </c>
      <c r="M998" s="7">
        <f>RANK(H998,$H$3:$H$1002,0)+COUNTIF($H$3:H998,H998)-1</f>
        <v>275</v>
      </c>
    </row>
    <row r="999" spans="1:13" x14ac:dyDescent="0.35">
      <c r="A999" s="7" t="s">
        <v>1818</v>
      </c>
      <c r="B999" s="7" t="s">
        <v>1819</v>
      </c>
      <c r="C999" s="8" t="s">
        <v>62</v>
      </c>
      <c r="D999" s="8" t="s">
        <v>63</v>
      </c>
      <c r="E999" s="8">
        <v>85.9</v>
      </c>
      <c r="F999" s="8">
        <v>10.6</v>
      </c>
      <c r="G999" s="8">
        <v>76</v>
      </c>
      <c r="H999" s="7">
        <f t="shared" si="45"/>
        <v>86.2</v>
      </c>
      <c r="I999" s="7" t="str">
        <f t="shared" si="46"/>
        <v>PASS</v>
      </c>
      <c r="J999" s="7" t="str">
        <f t="shared" si="47"/>
        <v>Low Risk</v>
      </c>
      <c r="L999" s="7" t="str">
        <f>IF(J999="High Risk",COUNTIF($J$3:J999,"High Risk"),"")</f>
        <v/>
      </c>
      <c r="M999" s="7">
        <f>RANK(H999,$H$3:$H$1002,0)+COUNTIF($H$3:H999,H999)-1</f>
        <v>154</v>
      </c>
    </row>
    <row r="1000" spans="1:13" x14ac:dyDescent="0.35">
      <c r="A1000" s="7" t="s">
        <v>1820</v>
      </c>
      <c r="B1000" s="7" t="s">
        <v>334</v>
      </c>
      <c r="C1000" s="8" t="s">
        <v>62</v>
      </c>
      <c r="D1000" s="8" t="s">
        <v>75</v>
      </c>
      <c r="E1000" s="8">
        <v>79.900000000000006</v>
      </c>
      <c r="F1000" s="8">
        <v>6.4</v>
      </c>
      <c r="G1000" s="8">
        <v>65</v>
      </c>
      <c r="H1000" s="7">
        <f t="shared" si="45"/>
        <v>69.2</v>
      </c>
      <c r="I1000" s="7" t="str">
        <f t="shared" si="46"/>
        <v>PASS</v>
      </c>
      <c r="J1000" s="7" t="str">
        <f t="shared" si="47"/>
        <v>Low Risk</v>
      </c>
      <c r="L1000" s="7" t="str">
        <f>IF(J1000="High Risk",COUNTIF($J$3:J1000,"High Risk"),"")</f>
        <v/>
      </c>
      <c r="M1000" s="7">
        <f>RANK(H1000,$H$3:$H$1002,0)+COUNTIF($H$3:H1000,H1000)-1</f>
        <v>449</v>
      </c>
    </row>
    <row r="1001" spans="1:13" x14ac:dyDescent="0.35">
      <c r="A1001" s="7" t="s">
        <v>1821</v>
      </c>
      <c r="B1001" s="7" t="s">
        <v>1822</v>
      </c>
      <c r="C1001" s="8" t="s">
        <v>62</v>
      </c>
      <c r="D1001" s="8" t="s">
        <v>75</v>
      </c>
      <c r="E1001" s="8">
        <v>72.8</v>
      </c>
      <c r="F1001" s="8">
        <v>5.9</v>
      </c>
      <c r="G1001" s="8">
        <v>66</v>
      </c>
      <c r="H1001" s="7">
        <f t="shared" si="45"/>
        <v>65.900000000000006</v>
      </c>
      <c r="I1001" s="7" t="str">
        <f t="shared" si="46"/>
        <v>PASS</v>
      </c>
      <c r="J1001" s="7" t="str">
        <f t="shared" si="47"/>
        <v>Low Risk</v>
      </c>
      <c r="L1001" s="7" t="str">
        <f>IF(J1001="High Risk",COUNTIF($J$3:J1001,"High Risk"),"")</f>
        <v/>
      </c>
      <c r="M1001" s="7">
        <f>RANK(H1001,$H$3:$H$1002,0)+COUNTIF($H$3:H1001,H1001)-1</f>
        <v>514</v>
      </c>
    </row>
    <row r="1002" spans="1:13" x14ac:dyDescent="0.35">
      <c r="A1002" s="7" t="s">
        <v>1823</v>
      </c>
      <c r="B1002" s="7" t="s">
        <v>1333</v>
      </c>
      <c r="C1002" s="8" t="s">
        <v>62</v>
      </c>
      <c r="D1002" s="8" t="s">
        <v>57</v>
      </c>
      <c r="E1002" s="8">
        <v>73.900000000000006</v>
      </c>
      <c r="F1002" s="8">
        <v>8.4</v>
      </c>
      <c r="G1002" s="8">
        <v>77</v>
      </c>
      <c r="H1002" s="7">
        <f t="shared" si="45"/>
        <v>78.2</v>
      </c>
      <c r="I1002" s="7" t="str">
        <f t="shared" si="46"/>
        <v>PASS</v>
      </c>
      <c r="J1002" s="7" t="str">
        <f t="shared" si="47"/>
        <v>Low Risk</v>
      </c>
      <c r="L1002" s="7" t="str">
        <f>IF(J1002="High Risk",COUNTIF($J$3:J1002,"High Risk"),"")</f>
        <v/>
      </c>
      <c r="M1002" s="7">
        <f>RANK(H1002,$H$3:$H$1002,0)+COUNTIF($H$3:H1002,H1002)-1</f>
        <v>276</v>
      </c>
    </row>
  </sheetData>
  <mergeCells count="1">
    <mergeCell ref="A1:M1"/>
  </mergeCells>
  <conditionalFormatting sqref="I3:I1002">
    <cfRule type="cellIs" dxfId="4" priority="5" operator="equal">
      <formula>"FAIL"</formula>
    </cfRule>
    <cfRule type="cellIs" dxfId="3" priority="6" operator="equal">
      <formula>"PASS"</formula>
    </cfRule>
  </conditionalFormatting>
  <conditionalFormatting sqref="J3:J1002">
    <cfRule type="cellIs" dxfId="2" priority="2" operator="equal">
      <formula>"High Risk"</formula>
    </cfRule>
    <cfRule type="cellIs" dxfId="1" priority="3" operator="equal">
      <formula>"Medium Risk"</formula>
    </cfRule>
    <cfRule type="cellIs" dxfId="0" priority="4" operator="equal">
      <formula>"Low Risk"</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B2:G112"/>
  <sheetViews>
    <sheetView topLeftCell="A100" zoomScaleNormal="100" workbookViewId="0"/>
  </sheetViews>
  <sheetFormatPr defaultColWidth="8.6328125" defaultRowHeight="14.5" x14ac:dyDescent="0.35"/>
  <cols>
    <col min="1" max="1" width="2" customWidth="1"/>
    <col min="2" max="2" width="22" customWidth="1"/>
    <col min="3" max="3" width="12" customWidth="1"/>
    <col min="4" max="4" width="11" customWidth="1"/>
    <col min="5" max="5" width="15" customWidth="1"/>
    <col min="6" max="8" width="14" customWidth="1"/>
  </cols>
  <sheetData>
    <row r="2" spans="2:7" ht="20" x14ac:dyDescent="0.4">
      <c r="B2" s="3" t="s">
        <v>1824</v>
      </c>
    </row>
    <row r="3" spans="2:7" x14ac:dyDescent="0.35">
      <c r="B3" s="4" t="s">
        <v>1825</v>
      </c>
    </row>
    <row r="5" spans="2:7" ht="15.5" x14ac:dyDescent="0.35">
      <c r="B5" s="11" t="s">
        <v>1826</v>
      </c>
      <c r="C5" s="11"/>
      <c r="D5" s="11"/>
      <c r="E5" s="11"/>
      <c r="F5" s="11"/>
      <c r="G5" s="11"/>
    </row>
    <row r="6" spans="2:7" x14ac:dyDescent="0.35">
      <c r="B6" s="6" t="s">
        <v>50</v>
      </c>
      <c r="C6" s="6" t="s">
        <v>1827</v>
      </c>
      <c r="D6" s="6" t="s">
        <v>1828</v>
      </c>
      <c r="E6" s="6" t="s">
        <v>1829</v>
      </c>
      <c r="F6" s="6" t="s">
        <v>1830</v>
      </c>
      <c r="G6" s="6" t="s">
        <v>1831</v>
      </c>
    </row>
    <row r="7" spans="2:7" x14ac:dyDescent="0.35">
      <c r="B7" s="7" t="s">
        <v>1832</v>
      </c>
      <c r="C7" s="7">
        <f>COUNTIF('Student Data'!$J$3:$J$1002,B7)</f>
        <v>197</v>
      </c>
      <c r="D7" s="7">
        <f>IFERROR(ROUND(AVERAGEIF('Student Data'!$J$3:$J$1002,B7,'Student Data'!$H$3:$H$1002),1),0)</f>
        <v>38.5</v>
      </c>
      <c r="E7" s="7">
        <f>IFERROR(ROUND(AVERAGEIF('Student Data'!$J$3:$J$1002,B7,'Student Data'!$E$3:$E$1002),1),0)</f>
        <v>52</v>
      </c>
      <c r="F7" s="7">
        <f>IFERROR(ROUND(AVERAGEIF('Student Data'!$J$3:$J$1002,B7,'Student Data'!$F$3:$F$1002),1),0)</f>
        <v>2</v>
      </c>
      <c r="G7" s="7">
        <f>IFERROR(ROUND(AVERAGEIF('Student Data'!$J$3:$J$1002,B7,'Student Data'!$G$3:$G$1002),1),0)</f>
        <v>42.5</v>
      </c>
    </row>
    <row r="8" spans="2:7" x14ac:dyDescent="0.35">
      <c r="B8" s="7" t="s">
        <v>1833</v>
      </c>
      <c r="C8" s="7">
        <f>COUNTIF('Student Data'!$J$3:$J$1002,B8)</f>
        <v>272</v>
      </c>
      <c r="D8" s="7">
        <f>IFERROR(ROUND(AVERAGEIF('Student Data'!$J$3:$J$1002,B8,'Student Data'!$H$3:$H$1002),1),0)</f>
        <v>57.5</v>
      </c>
      <c r="E8" s="7">
        <f>IFERROR(ROUND(AVERAGEIF('Student Data'!$J$3:$J$1002,B8,'Student Data'!$E$3:$E$1002),1),0)</f>
        <v>68.400000000000006</v>
      </c>
      <c r="F8" s="7">
        <f>IFERROR(ROUND(AVERAGEIF('Student Data'!$J$3:$J$1002,B8,'Student Data'!$F$3:$F$1002),1),0)</f>
        <v>4.5999999999999996</v>
      </c>
      <c r="G8" s="7">
        <f>IFERROR(ROUND(AVERAGEIF('Student Data'!$J$3:$J$1002,B8,'Student Data'!$G$3:$G$1002),1),0)</f>
        <v>58.3</v>
      </c>
    </row>
    <row r="9" spans="2:7" x14ac:dyDescent="0.35">
      <c r="B9" s="7" t="s">
        <v>1834</v>
      </c>
      <c r="C9" s="7">
        <f>COUNTIF('Student Data'!$J$3:$J$1002,B9)</f>
        <v>531</v>
      </c>
      <c r="D9" s="7">
        <f>IFERROR(ROUND(AVERAGEIF('Student Data'!$J$3:$J$1002,B9,'Student Data'!$H$3:$H$1002),1),0)</f>
        <v>80</v>
      </c>
      <c r="E9" s="7">
        <f>IFERROR(ROUND(AVERAGEIF('Student Data'!$J$3:$J$1002,B9,'Student Data'!$E$3:$E$1002),1),0)</f>
        <v>85.5</v>
      </c>
      <c r="F9" s="7">
        <f>IFERROR(ROUND(AVERAGEIF('Student Data'!$J$3:$J$1002,B9,'Student Data'!$F$3:$F$1002),1),0)</f>
        <v>8.1</v>
      </c>
      <c r="G9" s="7">
        <f>IFERROR(ROUND(AVERAGEIF('Student Data'!$J$3:$J$1002,B9,'Student Data'!$G$3:$G$1002),1),0)</f>
        <v>77</v>
      </c>
    </row>
    <row r="11" spans="2:7" ht="15.5" x14ac:dyDescent="0.35">
      <c r="B11" s="11" t="s">
        <v>1835</v>
      </c>
      <c r="C11" s="11"/>
      <c r="D11" s="11"/>
      <c r="E11" s="11"/>
      <c r="F11" s="11"/>
      <c r="G11" s="11"/>
    </row>
    <row r="12" spans="2:7" x14ac:dyDescent="0.35">
      <c r="B12" s="6" t="s">
        <v>1836</v>
      </c>
      <c r="C12" s="6" t="s">
        <v>1827</v>
      </c>
      <c r="D12" s="6" t="s">
        <v>1828</v>
      </c>
      <c r="E12" s="6" t="s">
        <v>1829</v>
      </c>
      <c r="F12" s="6" t="s">
        <v>1830</v>
      </c>
      <c r="G12" s="6" t="s">
        <v>1831</v>
      </c>
    </row>
    <row r="13" spans="2:7" x14ac:dyDescent="0.35">
      <c r="B13" s="7" t="s">
        <v>1837</v>
      </c>
      <c r="C13" s="7">
        <f>COUNTIF('Student Data'!$I$3:$I$1002,B13)</f>
        <v>803</v>
      </c>
      <c r="D13" s="7">
        <f>IFERROR(ROUND(AVERAGEIF('Student Data'!$I$3:$I$1002,B13,'Student Data'!$H$3:$H$1002),1),0)</f>
        <v>72.400000000000006</v>
      </c>
      <c r="E13" s="7">
        <f>IFERROR(ROUND(AVERAGEIF('Student Data'!$I$3:$I$1002,B13,'Student Data'!$E$3:$E$1002),1),0)</f>
        <v>79.7</v>
      </c>
      <c r="F13" s="7">
        <f>IFERROR(ROUND(AVERAGEIF('Student Data'!$I$3:$I$1002,B13,'Student Data'!$F$3:$F$1002),1),0)</f>
        <v>6.9</v>
      </c>
      <c r="G13" s="7">
        <f>IFERROR(ROUND(AVERAGEIF('Student Data'!$I$3:$I$1002,B13,'Student Data'!$G$3:$G$1002),1),0)</f>
        <v>70.599999999999994</v>
      </c>
    </row>
    <row r="14" spans="2:7" x14ac:dyDescent="0.35">
      <c r="B14" s="7" t="s">
        <v>1838</v>
      </c>
      <c r="C14" s="7">
        <f>COUNTIF('Student Data'!$I$3:$I$1002,B14)</f>
        <v>197</v>
      </c>
      <c r="D14" s="7">
        <f>IFERROR(ROUND(AVERAGEIF('Student Data'!$I$3:$I$1002,B14,'Student Data'!$H$3:$H$1002),1),0)</f>
        <v>38.5</v>
      </c>
      <c r="E14" s="7">
        <f>IFERROR(ROUND(AVERAGEIF('Student Data'!$I$3:$I$1002,B14,'Student Data'!$E$3:$E$1002),1),0)</f>
        <v>52</v>
      </c>
      <c r="F14" s="7">
        <f>IFERROR(ROUND(AVERAGEIF('Student Data'!$I$3:$I$1002,B14,'Student Data'!$F$3:$F$1002),1),0)</f>
        <v>2</v>
      </c>
      <c r="G14" s="7">
        <f>IFERROR(ROUND(AVERAGEIF('Student Data'!$I$3:$I$1002,B14,'Student Data'!$G$3:$G$1002),1),0)</f>
        <v>42.5</v>
      </c>
    </row>
    <row r="16" spans="2:7" ht="15.5" x14ac:dyDescent="0.35">
      <c r="B16" s="11" t="s">
        <v>1839</v>
      </c>
      <c r="C16" s="11"/>
      <c r="D16" s="11"/>
    </row>
    <row r="17" spans="2:5" x14ac:dyDescent="0.35">
      <c r="B17" s="6" t="s">
        <v>1840</v>
      </c>
      <c r="C17" s="6" t="s">
        <v>1827</v>
      </c>
      <c r="D17" s="6" t="s">
        <v>1841</v>
      </c>
    </row>
    <row r="18" spans="2:5" x14ac:dyDescent="0.35">
      <c r="B18" s="7" t="s">
        <v>1842</v>
      </c>
      <c r="C18" s="7">
        <f>COUNTIFS('Student Data'!$H$3:$H$1002,"&gt;="&amp;0,'Student Data'!$H$3:$H$1002,"&lt;="&amp;49.999)</f>
        <v>197</v>
      </c>
      <c r="D18" s="7" t="str">
        <f>ROUND(C18/COUNTA('Student Data'!$A$3:$A$1002)*100,1)&amp;"%"</f>
        <v>19.7%</v>
      </c>
    </row>
    <row r="19" spans="2:5" x14ac:dyDescent="0.35">
      <c r="B19" s="7" t="s">
        <v>1843</v>
      </c>
      <c r="C19" s="7">
        <f>COUNTIFS('Student Data'!$H$3:$H$1002,"&gt;="&amp;50,'Student Data'!$H$3:$H$1002,"&lt;="&amp;64.999)</f>
        <v>272</v>
      </c>
      <c r="D19" s="7" t="str">
        <f>ROUND(C19/COUNTA('Student Data'!$A$3:$A$1002)*100,1)&amp;"%"</f>
        <v>27.2%</v>
      </c>
    </row>
    <row r="20" spans="2:5" x14ac:dyDescent="0.35">
      <c r="B20" s="7" t="s">
        <v>1844</v>
      </c>
      <c r="C20" s="7">
        <f>COUNTIFS('Student Data'!$H$3:$H$1002,"&gt;="&amp;65,'Student Data'!$H$3:$H$1002,"&lt;="&amp;79.999)</f>
        <v>283</v>
      </c>
      <c r="D20" s="7" t="str">
        <f>ROUND(C20/COUNTA('Student Data'!$A$3:$A$1002)*100,1)&amp;"%"</f>
        <v>28.3%</v>
      </c>
    </row>
    <row r="21" spans="2:5" x14ac:dyDescent="0.35">
      <c r="B21" s="7" t="s">
        <v>1845</v>
      </c>
      <c r="C21" s="7">
        <f>COUNTIFS('Student Data'!$H$3:$H$1002,"&gt;="&amp;80,'Student Data'!$H$3:$H$1002,"&lt;="&amp;100)</f>
        <v>248</v>
      </c>
      <c r="D21" s="7" t="str">
        <f>ROUND(C21/COUNTA('Student Data'!$A$3:$A$1002)*100,1)&amp;"%"</f>
        <v>24.8%</v>
      </c>
    </row>
    <row r="23" spans="2:5" ht="15.5" x14ac:dyDescent="0.35">
      <c r="B23" s="11" t="s">
        <v>1846</v>
      </c>
      <c r="C23" s="11"/>
      <c r="D23" s="11"/>
      <c r="E23" s="11"/>
    </row>
    <row r="24" spans="2:5" x14ac:dyDescent="0.35">
      <c r="B24" s="6" t="s">
        <v>1847</v>
      </c>
      <c r="C24" s="6" t="s">
        <v>1827</v>
      </c>
      <c r="D24" s="6" t="s">
        <v>1828</v>
      </c>
      <c r="E24" s="6" t="s">
        <v>1848</v>
      </c>
    </row>
    <row r="25" spans="2:5" x14ac:dyDescent="0.35">
      <c r="B25" s="7" t="s">
        <v>1849</v>
      </c>
      <c r="C25" s="7">
        <f>COUNTIFS('Student Data'!$E$3:$E$1002,"&gt;="&amp;0,'Student Data'!$E$3:$E$1002,"&lt;="&amp;59.999)</f>
        <v>188</v>
      </c>
      <c r="D25" s="7">
        <f>IFERROR(ROUND(AVERAGEIFS('Student Data'!$H$3:$H$1002,'Student Data'!$E$3:$E$1002,"&gt;="&amp;0,'Student Data'!$E$3:$E$1002,"&lt;="&amp;59.999),1),0)</f>
        <v>41</v>
      </c>
      <c r="E25" s="7" t="str">
        <f>IFERROR(ROUND(COUNTIFS('Student Data'!$E$3:$E$1002,"&gt;="&amp;0,'Student Data'!$E$3:$E$1002,"&lt;="&amp;59.999,'Student Data'!$I$3:$I$1002,"PASS")/C25*100,1)&amp;"%",0)</f>
        <v>22.9%</v>
      </c>
    </row>
    <row r="26" spans="2:5" x14ac:dyDescent="0.35">
      <c r="B26" s="7" t="s">
        <v>1850</v>
      </c>
      <c r="C26" s="7">
        <f>COUNTIFS('Student Data'!$E$3:$E$1002,"&gt;="&amp;60,'Student Data'!$E$3:$E$1002,"&lt;="&amp;74.999)</f>
        <v>314</v>
      </c>
      <c r="D26" s="7">
        <f>IFERROR(ROUND(AVERAGEIFS('Student Data'!$H$3:$H$1002,'Student Data'!$E$3:$E$1002,"&gt;="&amp;60,'Student Data'!$E$3:$E$1002,"&lt;="&amp;74.999),1),0)</f>
        <v>59.4</v>
      </c>
      <c r="E26" s="7" t="str">
        <f>IFERROR(ROUND(COUNTIFS('Student Data'!$E$3:$E$1002,"&gt;="&amp;60,'Student Data'!$E$3:$E$1002,"&lt;="&amp;74.999,'Student Data'!$I$3:$I$1002,"PASS")/C26*100,1)&amp;"%",0)</f>
        <v>84.1%</v>
      </c>
    </row>
    <row r="27" spans="2:5" x14ac:dyDescent="0.35">
      <c r="B27" s="7" t="s">
        <v>1851</v>
      </c>
      <c r="C27" s="7">
        <f>COUNTIFS('Student Data'!$E$3:$E$1002,"&gt;="&amp;75,'Student Data'!$E$3:$E$1002,"&lt;="&amp;89.999)</f>
        <v>305</v>
      </c>
      <c r="D27" s="7">
        <f>IFERROR(ROUND(AVERAGEIFS('Student Data'!$H$3:$H$1002,'Student Data'!$E$3:$E$1002,"&gt;="&amp;75,'Student Data'!$E$3:$E$1002,"&lt;="&amp;89.999),1),0)</f>
        <v>73.2</v>
      </c>
      <c r="E27" s="7" t="str">
        <f>IFERROR(ROUND(COUNTIFS('Student Data'!$E$3:$E$1002,"&gt;="&amp;75,'Student Data'!$E$3:$E$1002,"&lt;="&amp;89.999,'Student Data'!$I$3:$I$1002,"PASS")/C27*100,1)&amp;"%",0)</f>
        <v>99.3%</v>
      </c>
    </row>
    <row r="28" spans="2:5" x14ac:dyDescent="0.35">
      <c r="B28" s="7" t="s">
        <v>1852</v>
      </c>
      <c r="C28" s="7">
        <f>COUNTIFS('Student Data'!$E$3:$E$1002,"&gt;="&amp;90,'Student Data'!$E$3:$E$1002,"&lt;="&amp;100)</f>
        <v>193</v>
      </c>
      <c r="D28" s="7">
        <f>IFERROR(ROUND(AVERAGEIFS('Student Data'!$H$3:$H$1002,'Student Data'!$E$3:$E$1002,"&gt;="&amp;90,'Student Data'!$E$3:$E$1002,"&lt;="&amp;100),1),0)</f>
        <v>88.3</v>
      </c>
      <c r="E28" s="7" t="str">
        <f>IFERROR(ROUND(COUNTIFS('Student Data'!$E$3:$E$1002,"&gt;="&amp;90,'Student Data'!$E$3:$E$1002,"&lt;="&amp;100,'Student Data'!$I$3:$I$1002,"PASS")/C28*100,1)&amp;"%",0)</f>
        <v>100%</v>
      </c>
    </row>
    <row r="30" spans="2:5" ht="15.5" x14ac:dyDescent="0.35">
      <c r="B30" s="11" t="s">
        <v>1853</v>
      </c>
      <c r="C30" s="11"/>
      <c r="D30" s="11"/>
      <c r="E30" s="11"/>
    </row>
    <row r="31" spans="2:5" x14ac:dyDescent="0.35">
      <c r="B31" s="6" t="s">
        <v>1854</v>
      </c>
      <c r="C31" s="6" t="s">
        <v>1827</v>
      </c>
      <c r="D31" s="6" t="s">
        <v>1828</v>
      </c>
      <c r="E31" s="6" t="s">
        <v>1848</v>
      </c>
    </row>
    <row r="32" spans="2:5" x14ac:dyDescent="0.35">
      <c r="B32" s="7" t="s">
        <v>1855</v>
      </c>
      <c r="C32" s="7">
        <f>COUNTIFS('Student Data'!$F$3:$F$1002,"&gt;="&amp;0,'Student Data'!$F$3:$F$1002,"&lt;="&amp;2.999)</f>
        <v>188</v>
      </c>
      <c r="D32" s="7">
        <f>IFERROR(ROUND(AVERAGEIFS('Student Data'!$H$3:$H$1002,'Student Data'!$F$3:$F$1002,"&gt;="&amp;0,'Student Data'!$F$3:$F$1002,"&lt;="&amp;2.999),1),0)</f>
        <v>40.1</v>
      </c>
      <c r="E32" s="7" t="str">
        <f>IFERROR(ROUND(COUNTIFS('Student Data'!$F$3:$F$1002,"&gt;="&amp;0,'Student Data'!$F$3:$F$1002,"&lt;="&amp;2.999,'Student Data'!$I$3:$I$1002,"PASS")/C32*100,1)&amp;"%",0)</f>
        <v>20.7%</v>
      </c>
    </row>
    <row r="33" spans="2:6" x14ac:dyDescent="0.35">
      <c r="B33" s="7" t="s">
        <v>1856</v>
      </c>
      <c r="C33" s="7">
        <f>COUNTIFS('Student Data'!$F$3:$F$1002,"&gt;="&amp;3,'Student Data'!$F$3:$F$1002,"&lt;="&amp;5.999)</f>
        <v>312</v>
      </c>
      <c r="D33" s="7">
        <f>IFERROR(ROUND(AVERAGEIFS('Student Data'!$H$3:$H$1002,'Student Data'!$F$3:$F$1002,"&gt;="&amp;3,'Student Data'!$F$3:$F$1002,"&lt;="&amp;5.999),1),0)</f>
        <v>58.8</v>
      </c>
      <c r="E33" s="7" t="str">
        <f>IFERROR(ROUND(COUNTIFS('Student Data'!$F$3:$F$1002,"&gt;="&amp;3,'Student Data'!$F$3:$F$1002,"&lt;="&amp;5.999,'Student Data'!$I$3:$I$1002,"PASS")/C33*100,1)&amp;"%",0)</f>
        <v>85.3%</v>
      </c>
    </row>
    <row r="34" spans="2:6" x14ac:dyDescent="0.35">
      <c r="B34" s="7" t="s">
        <v>1857</v>
      </c>
      <c r="C34" s="7">
        <f>COUNTIFS('Student Data'!$F$3:$F$1002,"&gt;="&amp;6,'Student Data'!$F$3:$F$1002,"&lt;="&amp;8.999)</f>
        <v>335</v>
      </c>
      <c r="D34" s="7">
        <f>IFERROR(ROUND(AVERAGEIFS('Student Data'!$H$3:$H$1002,'Student Data'!$F$3:$F$1002,"&gt;="&amp;6,'Student Data'!$F$3:$F$1002,"&lt;="&amp;8.999),1),0)</f>
        <v>74.3</v>
      </c>
      <c r="E34" s="7" t="str">
        <f>IFERROR(ROUND(COUNTIFS('Student Data'!$F$3:$F$1002,"&gt;="&amp;6,'Student Data'!$F$3:$F$1002,"&lt;="&amp;8.999,'Student Data'!$I$3:$I$1002,"PASS")/C34*100,1)&amp;"%",0)</f>
        <v>99.4%</v>
      </c>
    </row>
    <row r="35" spans="2:6" x14ac:dyDescent="0.35">
      <c r="B35" s="7" t="s">
        <v>1858</v>
      </c>
      <c r="C35" s="7">
        <f>COUNTIFS('Student Data'!$F$3:$F$1002,"&gt;="&amp;9,'Student Data'!$F$3:$F$1002,"&lt;="&amp;99)</f>
        <v>165</v>
      </c>
      <c r="D35" s="7">
        <f>IFERROR(ROUND(AVERAGEIFS('Student Data'!$H$3:$H$1002,'Student Data'!$F$3:$F$1002,"&gt;="&amp;9,'Student Data'!$F$3:$F$1002,"&lt;="&amp;99),1),0)</f>
        <v>90.5</v>
      </c>
      <c r="E35" s="7" t="str">
        <f>IFERROR(ROUND(COUNTIFS('Student Data'!$F$3:$F$1002,"&gt;="&amp;9,'Student Data'!$F$3:$F$1002,"&lt;="&amp;99,'Student Data'!$I$3:$I$1002,"PASS")/C35*100,1)&amp;"%",0)</f>
        <v>100%</v>
      </c>
    </row>
    <row r="37" spans="2:6" ht="15.5" x14ac:dyDescent="0.35">
      <c r="B37" s="11" t="s">
        <v>1859</v>
      </c>
      <c r="C37" s="11"/>
      <c r="D37" s="11"/>
      <c r="E37" s="11"/>
    </row>
    <row r="38" spans="2:6" x14ac:dyDescent="0.35">
      <c r="B38" s="6" t="s">
        <v>1860</v>
      </c>
      <c r="C38" s="6" t="s">
        <v>1827</v>
      </c>
      <c r="D38" s="6" t="s">
        <v>1828</v>
      </c>
      <c r="E38" s="6" t="s">
        <v>1848</v>
      </c>
    </row>
    <row r="39" spans="2:6" x14ac:dyDescent="0.35">
      <c r="B39" s="7" t="s">
        <v>1842</v>
      </c>
      <c r="C39" s="7">
        <f>COUNTIFS('Student Data'!$G$3:$G$1002,"&gt;="&amp;0,'Student Data'!$G$3:$G$1002,"&lt;="&amp;49.999)</f>
        <v>177</v>
      </c>
      <c r="D39" s="7">
        <f>IFERROR(ROUND(AVERAGEIFS('Student Data'!$H$3:$H$1002,'Student Data'!$G$3:$G$1002,"&gt;="&amp;0,'Student Data'!$G$3:$G$1002,"&lt;="&amp;49.999),1),0)</f>
        <v>39.700000000000003</v>
      </c>
      <c r="E39" s="7" t="str">
        <f>IFERROR(ROUND(COUNTIFS('Student Data'!$G$3:$G$1002,"&gt;="&amp;0,'Student Data'!$G$3:$G$1002,"&lt;="&amp;49.999,'Student Data'!$I$3:$I$1002,"PASS")/C39*100,1)&amp;"%",0)</f>
        <v>16.9%</v>
      </c>
    </row>
    <row r="40" spans="2:6" x14ac:dyDescent="0.35">
      <c r="B40" s="7" t="s">
        <v>1843</v>
      </c>
      <c r="C40" s="7">
        <f>COUNTIFS('Student Data'!$G$3:$G$1002,"&gt;="&amp;50,'Student Data'!$G$3:$G$1002,"&lt;="&amp;64.999)</f>
        <v>316</v>
      </c>
      <c r="D40" s="7">
        <f>IFERROR(ROUND(AVERAGEIFS('Student Data'!$H$3:$H$1002,'Student Data'!$G$3:$G$1002,"&gt;="&amp;50,'Student Data'!$G$3:$G$1002,"&lt;="&amp;64.999),1),0)</f>
        <v>58.3</v>
      </c>
      <c r="E40" s="7" t="str">
        <f>IFERROR(ROUND(COUNTIFS('Student Data'!$G$3:$G$1002,"&gt;="&amp;50,'Student Data'!$G$3:$G$1002,"&lt;="&amp;64.999,'Student Data'!$I$3:$I$1002,"PASS")/C40*100,1)&amp;"%",0)</f>
        <v>84.5%</v>
      </c>
    </row>
    <row r="41" spans="2:6" x14ac:dyDescent="0.35">
      <c r="B41" s="7" t="s">
        <v>1844</v>
      </c>
      <c r="C41" s="7">
        <f>COUNTIFS('Student Data'!$G$3:$G$1002,"&gt;="&amp;65,'Student Data'!$G$3:$G$1002,"&lt;="&amp;79.999)</f>
        <v>295</v>
      </c>
      <c r="D41" s="7">
        <f>IFERROR(ROUND(AVERAGEIFS('Student Data'!$H$3:$H$1002,'Student Data'!$G$3:$G$1002,"&gt;="&amp;65,'Student Data'!$G$3:$G$1002,"&lt;="&amp;79.999),1),0)</f>
        <v>72.7</v>
      </c>
      <c r="E41" s="7" t="str">
        <f>IFERROR(ROUND(COUNTIFS('Student Data'!$G$3:$G$1002,"&gt;="&amp;65,'Student Data'!$G$3:$G$1002,"&lt;="&amp;79.999,'Student Data'!$I$3:$I$1002,"PASS")/C41*100,1)&amp;"%",0)</f>
        <v>99.7%</v>
      </c>
    </row>
    <row r="42" spans="2:6" x14ac:dyDescent="0.35">
      <c r="B42" s="7" t="s">
        <v>1845</v>
      </c>
      <c r="C42" s="7">
        <f>COUNTIFS('Student Data'!$G$3:$G$1002,"&gt;="&amp;80,'Student Data'!$G$3:$G$1002,"&lt;="&amp;100)</f>
        <v>212</v>
      </c>
      <c r="D42" s="7">
        <f>IFERROR(ROUND(AVERAGEIFS('Student Data'!$H$3:$H$1002,'Student Data'!$G$3:$G$1002,"&gt;="&amp;80,'Student Data'!$G$3:$G$1002,"&lt;="&amp;100),1),0)</f>
        <v>88.8</v>
      </c>
      <c r="E42" s="7" t="str">
        <f>IFERROR(ROUND(COUNTIFS('Student Data'!$G$3:$G$1002,"&gt;="&amp;80,'Student Data'!$G$3:$G$1002,"&lt;="&amp;100,'Student Data'!$I$3:$I$1002,"PASS")/C42*100,1)&amp;"%",0)</f>
        <v>100%</v>
      </c>
    </row>
    <row r="44" spans="2:6" ht="15.5" x14ac:dyDescent="0.35">
      <c r="B44" s="11" t="s">
        <v>1861</v>
      </c>
      <c r="C44" s="11"/>
      <c r="D44" s="11"/>
      <c r="E44" s="11"/>
      <c r="F44" s="11"/>
    </row>
    <row r="45" spans="2:6" x14ac:dyDescent="0.35">
      <c r="B45" s="6" t="s">
        <v>43</v>
      </c>
      <c r="C45" s="6" t="s">
        <v>1827</v>
      </c>
      <c r="D45" s="6" t="s">
        <v>1828</v>
      </c>
      <c r="E45" s="6" t="s">
        <v>1848</v>
      </c>
      <c r="F45" s="6" t="s">
        <v>1862</v>
      </c>
    </row>
    <row r="46" spans="2:6" x14ac:dyDescent="0.35">
      <c r="B46" s="7" t="s">
        <v>56</v>
      </c>
      <c r="C46" s="7">
        <f>COUNTIF('Student Data'!$C$3:$C$1002,B46)</f>
        <v>485</v>
      </c>
      <c r="D46" s="7">
        <f>IFERROR(ROUND(AVERAGEIF('Student Data'!$C$3:$C$1002,B46,'Student Data'!$H$3:$H$1002),1),0)</f>
        <v>66.3</v>
      </c>
      <c r="E46" s="7" t="str">
        <f>IFERROR(ROUND(COUNTIFS('Student Data'!$C$3:$C$1002,B46,'Student Data'!$I$3:$I$1002,"PASS")/C46*100,1)&amp;"%",0)</f>
        <v>81.6%</v>
      </c>
      <c r="F46" s="7">
        <f>COUNTIFS('Student Data'!$C$3:$C$1002,B46,'Student Data'!$J$3:$J$1002,"High Risk")</f>
        <v>89</v>
      </c>
    </row>
    <row r="47" spans="2:6" x14ac:dyDescent="0.35">
      <c r="B47" s="7" t="s">
        <v>62</v>
      </c>
      <c r="C47" s="7">
        <f>COUNTIF('Student Data'!$C$3:$C$1002,B47)</f>
        <v>515</v>
      </c>
      <c r="D47" s="7">
        <f>IFERROR(ROUND(AVERAGEIF('Student Data'!$C$3:$C$1002,B47,'Student Data'!$H$3:$H$1002),1),0)</f>
        <v>65.2</v>
      </c>
      <c r="E47" s="7" t="str">
        <f>IFERROR(ROUND(COUNTIFS('Student Data'!$C$3:$C$1002,B47,'Student Data'!$I$3:$I$1002,"PASS")/C47*100,1)&amp;"%",0)</f>
        <v>79%</v>
      </c>
      <c r="F47" s="7">
        <f>COUNTIFS('Student Data'!$C$3:$C$1002,B47,'Student Data'!$J$3:$J$1002,"High Risk")</f>
        <v>108</v>
      </c>
    </row>
    <row r="49" spans="2:6" ht="15.5" x14ac:dyDescent="0.35">
      <c r="B49" s="11" t="s">
        <v>1863</v>
      </c>
      <c r="C49" s="11"/>
      <c r="D49" s="11"/>
      <c r="E49" s="11"/>
      <c r="F49" s="11"/>
    </row>
    <row r="50" spans="2:6" x14ac:dyDescent="0.35">
      <c r="B50" s="6" t="s">
        <v>44</v>
      </c>
      <c r="C50" s="6" t="s">
        <v>1827</v>
      </c>
      <c r="D50" s="6" t="s">
        <v>1828</v>
      </c>
      <c r="E50" s="6" t="s">
        <v>1848</v>
      </c>
      <c r="F50" s="6" t="s">
        <v>1862</v>
      </c>
    </row>
    <row r="51" spans="2:6" x14ac:dyDescent="0.35">
      <c r="B51" s="7" t="s">
        <v>57</v>
      </c>
      <c r="C51" s="7">
        <f>COUNTIF('Student Data'!$D$3:$D$1002,B51)</f>
        <v>286</v>
      </c>
      <c r="D51" s="7">
        <f>IFERROR(ROUND(AVERAGEIF('Student Data'!$D$3:$D$1002,B51,'Student Data'!$H$3:$H$1002),1),0)</f>
        <v>66.8</v>
      </c>
      <c r="E51" s="7" t="str">
        <f>IFERROR(ROUND(COUNTIFS('Student Data'!$D$3:$D$1002,B51,'Student Data'!$I$3:$I$1002,"PASS")/C51*100,1)&amp;"%",0)</f>
        <v>82.9%</v>
      </c>
      <c r="F51" s="7">
        <f>COUNTIFS('Student Data'!$D$3:$D$1002,B51,'Student Data'!$J$3:$J$1002,"High Risk")</f>
        <v>49</v>
      </c>
    </row>
    <row r="52" spans="2:6" x14ac:dyDescent="0.35">
      <c r="B52" s="7" t="s">
        <v>75</v>
      </c>
      <c r="C52" s="7">
        <f>COUNTIF('Student Data'!$D$3:$D$1002,B52)</f>
        <v>240</v>
      </c>
      <c r="D52" s="7">
        <f>IFERROR(ROUND(AVERAGEIF('Student Data'!$D$3:$D$1002,B52,'Student Data'!$H$3:$H$1002),1),0)</f>
        <v>64.900000000000006</v>
      </c>
      <c r="E52" s="7" t="str">
        <f>IFERROR(ROUND(COUNTIFS('Student Data'!$D$3:$D$1002,B52,'Student Data'!$I$3:$I$1002,"PASS")/C52*100,1)&amp;"%",0)</f>
        <v>80.4%</v>
      </c>
      <c r="F52" s="7">
        <f>COUNTIFS('Student Data'!$D$3:$D$1002,B52,'Student Data'!$J$3:$J$1002,"High Risk")</f>
        <v>47</v>
      </c>
    </row>
    <row r="53" spans="2:6" x14ac:dyDescent="0.35">
      <c r="B53" s="7" t="s">
        <v>63</v>
      </c>
      <c r="C53" s="7">
        <f>COUNTIF('Student Data'!$D$3:$D$1002,B53)</f>
        <v>245</v>
      </c>
      <c r="D53" s="7">
        <f>IFERROR(ROUND(AVERAGEIF('Student Data'!$D$3:$D$1002,B53,'Student Data'!$H$3:$H$1002),1),0)</f>
        <v>66.3</v>
      </c>
      <c r="E53" s="7" t="str">
        <f>IFERROR(ROUND(COUNTIFS('Student Data'!$D$3:$D$1002,B53,'Student Data'!$I$3:$I$1002,"PASS")/C53*100,1)&amp;"%",0)</f>
        <v>80%</v>
      </c>
      <c r="F53" s="7">
        <f>COUNTIFS('Student Data'!$D$3:$D$1002,B53,'Student Data'!$J$3:$J$1002,"High Risk")</f>
        <v>49</v>
      </c>
    </row>
    <row r="54" spans="2:6" x14ac:dyDescent="0.35">
      <c r="B54" s="7" t="s">
        <v>68</v>
      </c>
      <c r="C54" s="7">
        <f>COUNTIF('Student Data'!$D$3:$D$1002,B54)</f>
        <v>229</v>
      </c>
      <c r="D54" s="7">
        <f>IFERROR(ROUND(AVERAGEIF('Student Data'!$D$3:$D$1002,B54,'Student Data'!$H$3:$H$1002),1),0)</f>
        <v>64.5</v>
      </c>
      <c r="E54" s="7" t="str">
        <f>IFERROR(ROUND(COUNTIFS('Student Data'!$D$3:$D$1002,B54,'Student Data'!$I$3:$I$1002,"PASS")/C54*100,1)&amp;"%",0)</f>
        <v>77.3%</v>
      </c>
      <c r="F54" s="7">
        <f>COUNTIFS('Student Data'!$D$3:$D$1002,B54,'Student Data'!$J$3:$J$1002,"High Risk")</f>
        <v>52</v>
      </c>
    </row>
    <row r="56" spans="2:6" ht="15.5" x14ac:dyDescent="0.35">
      <c r="B56" s="11" t="s">
        <v>1864</v>
      </c>
      <c r="C56" s="11"/>
      <c r="D56" s="11"/>
    </row>
    <row r="57" spans="2:6" x14ac:dyDescent="0.35">
      <c r="B57" s="6" t="s">
        <v>43</v>
      </c>
      <c r="C57" s="6" t="s">
        <v>1837</v>
      </c>
      <c r="D57" s="6" t="s">
        <v>1838</v>
      </c>
    </row>
    <row r="58" spans="2:6" x14ac:dyDescent="0.35">
      <c r="B58" s="7" t="s">
        <v>56</v>
      </c>
      <c r="C58" s="7">
        <f>COUNTIFS('Student Data'!$C$3:$C$1002,B58,'Student Data'!$I$3:$I$1002,"PASS")</f>
        <v>396</v>
      </c>
      <c r="D58" s="7">
        <f>COUNTIFS('Student Data'!$C$3:$C$1002,B58,'Student Data'!$I$3:$I$1002,"FAIL")</f>
        <v>89</v>
      </c>
    </row>
    <row r="59" spans="2:6" x14ac:dyDescent="0.35">
      <c r="B59" s="7" t="s">
        <v>62</v>
      </c>
      <c r="C59" s="7">
        <f>COUNTIFS('Student Data'!$C$3:$C$1002,B59,'Student Data'!$I$3:$I$1002,"PASS")</f>
        <v>407</v>
      </c>
      <c r="D59" s="7">
        <f>COUNTIFS('Student Data'!$C$3:$C$1002,B59,'Student Data'!$I$3:$I$1002,"FAIL")</f>
        <v>108</v>
      </c>
    </row>
    <row r="61" spans="2:6" ht="15.5" x14ac:dyDescent="0.35">
      <c r="B61" s="11" t="s">
        <v>1865</v>
      </c>
      <c r="C61" s="11"/>
      <c r="D61" s="11"/>
      <c r="E61" s="11"/>
    </row>
    <row r="62" spans="2:6" x14ac:dyDescent="0.35">
      <c r="B62" s="6" t="s">
        <v>44</v>
      </c>
      <c r="C62" s="6" t="s">
        <v>1832</v>
      </c>
      <c r="D62" s="6" t="s">
        <v>1833</v>
      </c>
      <c r="E62" s="6" t="s">
        <v>1834</v>
      </c>
    </row>
    <row r="63" spans="2:6" x14ac:dyDescent="0.35">
      <c r="B63" s="7" t="s">
        <v>57</v>
      </c>
      <c r="C63" s="7">
        <f>COUNTIFS('Student Data'!$D$3:$D$1002,B63,'Student Data'!$J$3:$J$1002,"High Risk")</f>
        <v>49</v>
      </c>
      <c r="D63" s="7">
        <f>COUNTIFS('Student Data'!$D$3:$D$1002,B63,'Student Data'!$J$3:$J$1002,"Medium Risk")</f>
        <v>84</v>
      </c>
      <c r="E63" s="7">
        <f>COUNTIFS('Student Data'!$D$3:$D$1002,B63,'Student Data'!$J$3:$J$1002,"Low Risk")</f>
        <v>153</v>
      </c>
    </row>
    <row r="64" spans="2:6" x14ac:dyDescent="0.35">
      <c r="B64" s="7" t="s">
        <v>75</v>
      </c>
      <c r="C64" s="7">
        <f>COUNTIFS('Student Data'!$D$3:$D$1002,B64,'Student Data'!$J$3:$J$1002,"High Risk")</f>
        <v>47</v>
      </c>
      <c r="D64" s="7">
        <f>COUNTIFS('Student Data'!$D$3:$D$1002,B64,'Student Data'!$J$3:$J$1002,"Medium Risk")</f>
        <v>71</v>
      </c>
      <c r="E64" s="7">
        <f>COUNTIFS('Student Data'!$D$3:$D$1002,B64,'Student Data'!$J$3:$J$1002,"Low Risk")</f>
        <v>122</v>
      </c>
    </row>
    <row r="65" spans="2:6" x14ac:dyDescent="0.35">
      <c r="B65" s="7" t="s">
        <v>63</v>
      </c>
      <c r="C65" s="7">
        <f>COUNTIFS('Student Data'!$D$3:$D$1002,B65,'Student Data'!$J$3:$J$1002,"High Risk")</f>
        <v>49</v>
      </c>
      <c r="D65" s="7">
        <f>COUNTIFS('Student Data'!$D$3:$D$1002,B65,'Student Data'!$J$3:$J$1002,"Medium Risk")</f>
        <v>54</v>
      </c>
      <c r="E65" s="7">
        <f>COUNTIFS('Student Data'!$D$3:$D$1002,B65,'Student Data'!$J$3:$J$1002,"Low Risk")</f>
        <v>142</v>
      </c>
    </row>
    <row r="66" spans="2:6" x14ac:dyDescent="0.35">
      <c r="B66" s="7" t="s">
        <v>68</v>
      </c>
      <c r="C66" s="7">
        <f>COUNTIFS('Student Data'!$D$3:$D$1002,B66,'Student Data'!$J$3:$J$1002,"High Risk")</f>
        <v>52</v>
      </c>
      <c r="D66" s="7">
        <f>COUNTIFS('Student Data'!$D$3:$D$1002,B66,'Student Data'!$J$3:$J$1002,"Medium Risk")</f>
        <v>63</v>
      </c>
      <c r="E66" s="7">
        <f>COUNTIFS('Student Data'!$D$3:$D$1002,B66,'Student Data'!$J$3:$J$1002,"Low Risk")</f>
        <v>114</v>
      </c>
    </row>
    <row r="69" spans="2:6" ht="15.5" x14ac:dyDescent="0.35">
      <c r="B69" s="11" t="s">
        <v>1866</v>
      </c>
      <c r="C69" s="11"/>
      <c r="D69" s="11"/>
      <c r="E69" s="11"/>
      <c r="F69" s="11"/>
    </row>
    <row r="70" spans="2:6" x14ac:dyDescent="0.35">
      <c r="B70" s="6" t="s">
        <v>43</v>
      </c>
      <c r="C70" s="6" t="s">
        <v>1867</v>
      </c>
      <c r="D70" s="6" t="s">
        <v>1868</v>
      </c>
      <c r="E70" s="6" t="s">
        <v>1869</v>
      </c>
      <c r="F70" s="6" t="s">
        <v>1870</v>
      </c>
    </row>
    <row r="71" spans="2:6" x14ac:dyDescent="0.35">
      <c r="B71" s="7" t="s">
        <v>56</v>
      </c>
      <c r="C71" s="7">
        <f>COUNTIFS('Student Data'!$C$3:$C$1002,$B71,'Student Data'!$D$3:$D$1002,"A")</f>
        <v>140</v>
      </c>
      <c r="D71" s="7">
        <f>COUNTIFS('Student Data'!$C$3:$C$1002,$B71,'Student Data'!$D$3:$D$1002,"B")</f>
        <v>117</v>
      </c>
      <c r="E71" s="7">
        <f>COUNTIFS('Student Data'!$C$3:$C$1002,$B71,'Student Data'!$D$3:$D$1002,"C")</f>
        <v>114</v>
      </c>
      <c r="F71" s="7">
        <f>COUNTIFS('Student Data'!$C$3:$C$1002,$B71,'Student Data'!$D$3:$D$1002,"D")</f>
        <v>114</v>
      </c>
    </row>
    <row r="72" spans="2:6" x14ac:dyDescent="0.35">
      <c r="B72" s="7" t="s">
        <v>62</v>
      </c>
      <c r="C72" s="7">
        <f>COUNTIFS('Student Data'!$C$3:$C$1002,$B72,'Student Data'!$D$3:$D$1002,"A")</f>
        <v>146</v>
      </c>
      <c r="D72" s="7">
        <f>COUNTIFS('Student Data'!$C$3:$C$1002,$B72,'Student Data'!$D$3:$D$1002,"B")</f>
        <v>123</v>
      </c>
      <c r="E72" s="7">
        <f>COUNTIFS('Student Data'!$C$3:$C$1002,$B72,'Student Data'!$D$3:$D$1002,"C")</f>
        <v>131</v>
      </c>
      <c r="F72" s="7">
        <f>COUNTIFS('Student Data'!$C$3:$C$1002,$B72,'Student Data'!$D$3:$D$1002,"D")</f>
        <v>115</v>
      </c>
    </row>
    <row r="74" spans="2:6" ht="15.5" x14ac:dyDescent="0.35">
      <c r="B74" s="11" t="s">
        <v>1871</v>
      </c>
      <c r="C74" s="11"/>
      <c r="D74" s="11"/>
    </row>
    <row r="75" spans="2:6" x14ac:dyDescent="0.35">
      <c r="B75" s="6" t="s">
        <v>1854</v>
      </c>
      <c r="C75" s="6" t="s">
        <v>1837</v>
      </c>
      <c r="D75" s="6" t="s">
        <v>1838</v>
      </c>
    </row>
    <row r="76" spans="2:6" x14ac:dyDescent="0.35">
      <c r="B76" s="7" t="s">
        <v>1855</v>
      </c>
      <c r="C76" s="7">
        <f>COUNTIFS('Student Data'!$F$3:$F$1002,"&gt;="&amp;0,'Student Data'!$F$3:$F$1002,"&lt;="&amp;2.999,'Student Data'!$I$3:$I$1002,"PASS")</f>
        <v>39</v>
      </c>
      <c r="D76" s="7">
        <f>COUNTIFS('Student Data'!$F$3:$F$1002,"&gt;="&amp;0,'Student Data'!$F$3:$F$1002,"&lt;="&amp;2.999,'Student Data'!$I$3:$I$1002,"FAIL")</f>
        <v>149</v>
      </c>
    </row>
    <row r="77" spans="2:6" x14ac:dyDescent="0.35">
      <c r="B77" s="7" t="s">
        <v>1856</v>
      </c>
      <c r="C77" s="7">
        <f>COUNTIFS('Student Data'!$F$3:$F$1002,"&gt;="&amp;3,'Student Data'!$F$3:$F$1002,"&lt;="&amp;5.999,'Student Data'!$I$3:$I$1002,"PASS")</f>
        <v>266</v>
      </c>
      <c r="D77" s="7">
        <f>COUNTIFS('Student Data'!$F$3:$F$1002,"&gt;="&amp;3,'Student Data'!$F$3:$F$1002,"&lt;="&amp;5.999,'Student Data'!$I$3:$I$1002,"FAIL")</f>
        <v>46</v>
      </c>
    </row>
    <row r="78" spans="2:6" x14ac:dyDescent="0.35">
      <c r="B78" s="7" t="s">
        <v>1857</v>
      </c>
      <c r="C78" s="7">
        <f>COUNTIFS('Student Data'!$F$3:$F$1002,"&gt;="&amp;6,'Student Data'!$F$3:$F$1002,"&lt;="&amp;8.999,'Student Data'!$I$3:$I$1002,"PASS")</f>
        <v>333</v>
      </c>
      <c r="D78" s="7">
        <f>COUNTIFS('Student Data'!$F$3:$F$1002,"&gt;="&amp;6,'Student Data'!$F$3:$F$1002,"&lt;="&amp;8.999,'Student Data'!$I$3:$I$1002,"FAIL")</f>
        <v>2</v>
      </c>
    </row>
    <row r="79" spans="2:6" x14ac:dyDescent="0.35">
      <c r="B79" s="7" t="s">
        <v>1858</v>
      </c>
      <c r="C79" s="7">
        <f>COUNTIFS('Student Data'!$F$3:$F$1002,"&gt;="&amp;9,'Student Data'!$F$3:$F$1002,"&lt;="&amp;99,'Student Data'!$I$3:$I$1002,"PASS")</f>
        <v>165</v>
      </c>
      <c r="D79" s="7">
        <f>COUNTIFS('Student Data'!$F$3:$F$1002,"&gt;="&amp;9,'Student Data'!$F$3:$F$1002,"&lt;="&amp;99,'Student Data'!$I$3:$I$1002,"FAIL")</f>
        <v>0</v>
      </c>
    </row>
    <row r="81" spans="2:5" ht="15.5" x14ac:dyDescent="0.35">
      <c r="B81" s="11" t="s">
        <v>1872</v>
      </c>
      <c r="C81" s="11"/>
      <c r="D81" s="11"/>
      <c r="E81" s="11"/>
    </row>
    <row r="82" spans="2:5" x14ac:dyDescent="0.35">
      <c r="B82" s="6" t="s">
        <v>1847</v>
      </c>
      <c r="C82" s="6" t="s">
        <v>1832</v>
      </c>
      <c r="D82" s="6" t="s">
        <v>1833</v>
      </c>
      <c r="E82" s="6" t="s">
        <v>1834</v>
      </c>
    </row>
    <row r="83" spans="2:5" x14ac:dyDescent="0.35">
      <c r="B83" s="7" t="s">
        <v>1849</v>
      </c>
      <c r="C83" s="7">
        <f>COUNTIFS('Student Data'!$E$3:$E$1002,"&gt;="&amp;0,'Student Data'!$E$3:$E$1002,"&lt;="&amp;59.999,'Student Data'!$J$3:$J$1002,"High Risk")</f>
        <v>145</v>
      </c>
      <c r="D83" s="7">
        <f>COUNTIFS('Student Data'!$E$3:$E$1002,"&gt;="&amp;0,'Student Data'!$E$3:$E$1002,"&lt;="&amp;59.999,'Student Data'!$J$3:$J$1002,"Medium Risk")</f>
        <v>39</v>
      </c>
      <c r="E83" s="7">
        <f>COUNTIFS('Student Data'!$E$3:$E$1002,"&gt;="&amp;0,'Student Data'!$E$3:$E$1002,"&lt;="&amp;59.999,'Student Data'!$J$3:$J$1002,"Low Risk")</f>
        <v>4</v>
      </c>
    </row>
    <row r="84" spans="2:5" x14ac:dyDescent="0.35">
      <c r="B84" s="7" t="s">
        <v>1850</v>
      </c>
      <c r="C84" s="7">
        <f>COUNTIFS('Student Data'!$E$3:$E$1002,"&gt;="&amp;60,'Student Data'!$E$3:$E$1002,"&lt;="&amp;74.999,'Student Data'!$J$3:$J$1002,"High Risk")</f>
        <v>50</v>
      </c>
      <c r="D84" s="7">
        <f>COUNTIFS('Student Data'!$E$3:$E$1002,"&gt;="&amp;60,'Student Data'!$E$3:$E$1002,"&lt;="&amp;74.999,'Student Data'!$J$3:$J$1002,"Medium Risk")</f>
        <v>171</v>
      </c>
      <c r="E84" s="7">
        <f>COUNTIFS('Student Data'!$E$3:$E$1002,"&gt;="&amp;60,'Student Data'!$E$3:$E$1002,"&lt;="&amp;74.999,'Student Data'!$J$3:$J$1002,"Low Risk")</f>
        <v>93</v>
      </c>
    </row>
    <row r="85" spans="2:5" x14ac:dyDescent="0.35">
      <c r="B85" s="7" t="s">
        <v>1851</v>
      </c>
      <c r="C85" s="7">
        <f>COUNTIFS('Student Data'!$E$3:$E$1002,"&gt;="&amp;75,'Student Data'!$E$3:$E$1002,"&lt;="&amp;89.999,'Student Data'!$J$3:$J$1002,"High Risk")</f>
        <v>2</v>
      </c>
      <c r="D85" s="7">
        <f>COUNTIFS('Student Data'!$E$3:$E$1002,"&gt;="&amp;75,'Student Data'!$E$3:$E$1002,"&lt;="&amp;89.999,'Student Data'!$J$3:$J$1002,"Medium Risk")</f>
        <v>61</v>
      </c>
      <c r="E85" s="7">
        <f>COUNTIFS('Student Data'!$E$3:$E$1002,"&gt;="&amp;75,'Student Data'!$E$3:$E$1002,"&lt;="&amp;89.999,'Student Data'!$J$3:$J$1002,"Low Risk")</f>
        <v>242</v>
      </c>
    </row>
    <row r="86" spans="2:5" x14ac:dyDescent="0.35">
      <c r="B86" s="7" t="s">
        <v>1852</v>
      </c>
      <c r="C86" s="7">
        <f>COUNTIFS('Student Data'!$E$3:$E$1002,"&gt;="&amp;90,'Student Data'!$E$3:$E$1002,"&lt;="&amp;100,'Student Data'!$J$3:$J$1002,"High Risk")</f>
        <v>0</v>
      </c>
      <c r="D86" s="7">
        <f>COUNTIFS('Student Data'!$E$3:$E$1002,"&gt;="&amp;90,'Student Data'!$E$3:$E$1002,"&lt;="&amp;100,'Student Data'!$J$3:$J$1002,"Medium Risk")</f>
        <v>1</v>
      </c>
      <c r="E86" s="7">
        <f>COUNTIFS('Student Data'!$E$3:$E$1002,"&gt;="&amp;90,'Student Data'!$E$3:$E$1002,"&lt;="&amp;100,'Student Data'!$J$3:$J$1002,"Low Risk")</f>
        <v>192</v>
      </c>
    </row>
    <row r="88" spans="2:5" ht="15.5" x14ac:dyDescent="0.35">
      <c r="B88" s="11" t="s">
        <v>1873</v>
      </c>
      <c r="C88" s="11"/>
      <c r="D88" s="11"/>
      <c r="E88" s="11"/>
    </row>
    <row r="89" spans="2:5" x14ac:dyDescent="0.35">
      <c r="B89" s="6" t="s">
        <v>41</v>
      </c>
      <c r="C89" s="6" t="s">
        <v>42</v>
      </c>
      <c r="D89" s="6" t="s">
        <v>48</v>
      </c>
      <c r="E89" s="6" t="s">
        <v>49</v>
      </c>
    </row>
    <row r="90" spans="2:5" x14ac:dyDescent="0.35">
      <c r="B90" s="7" t="str">
        <f>IFERROR(INDEX('Student Data'!$A$3:$A$1002,MATCH(1,'Student Data'!$M$3:$M$1002,0)),"")</f>
        <v>STU0074</v>
      </c>
      <c r="C90" s="7" t="str">
        <f>IFERROR(INDEX('Student Data'!$B$3:$B$1002,MATCH(1,'Student Data'!$M$3:$M$1002,0)),"")</f>
        <v>Gaurav Chandra</v>
      </c>
      <c r="D90" s="7">
        <f>IFERROR(INDEX('Student Data'!$H$3:$H$1002,MATCH(1,'Student Data'!$M$3:$M$1002,0)),"")</f>
        <v>100</v>
      </c>
      <c r="E90" s="7" t="str">
        <f>IFERROR(INDEX('Student Data'!$I$3:$I$1002,MATCH(1,'Student Data'!$M$3:$M$1002,0)),"")</f>
        <v>PASS</v>
      </c>
    </row>
    <row r="91" spans="2:5" x14ac:dyDescent="0.35">
      <c r="B91" s="7" t="str">
        <f>IFERROR(INDEX('Student Data'!$A$3:$A$1002,MATCH(2,'Student Data'!$M$3:$M$1002,0)),"")</f>
        <v>STU0135</v>
      </c>
      <c r="C91" s="7" t="str">
        <f>IFERROR(INDEX('Student Data'!$B$3:$B$1002,MATCH(2,'Student Data'!$M$3:$M$1002,0)),"")</f>
        <v>Deepika Naidu</v>
      </c>
      <c r="D91" s="7">
        <f>IFERROR(INDEX('Student Data'!$H$3:$H$1002,MATCH(2,'Student Data'!$M$3:$M$1002,0)),"")</f>
        <v>100</v>
      </c>
      <c r="E91" s="7" t="str">
        <f>IFERROR(INDEX('Student Data'!$I$3:$I$1002,MATCH(2,'Student Data'!$M$3:$M$1002,0)),"")</f>
        <v>PASS</v>
      </c>
    </row>
    <row r="92" spans="2:5" x14ac:dyDescent="0.35">
      <c r="B92" s="7" t="str">
        <f>IFERROR(INDEX('Student Data'!$A$3:$A$1002,MATCH(3,'Student Data'!$M$3:$M$1002,0)),"")</f>
        <v>STU0211</v>
      </c>
      <c r="C92" s="7" t="str">
        <f>IFERROR(INDEX('Student Data'!$B$3:$B$1002,MATCH(3,'Student Data'!$M$3:$M$1002,0)),"")</f>
        <v>Anita Singh</v>
      </c>
      <c r="D92" s="7">
        <f>IFERROR(INDEX('Student Data'!$H$3:$H$1002,MATCH(3,'Student Data'!$M$3:$M$1002,0)),"")</f>
        <v>100</v>
      </c>
      <c r="E92" s="7" t="str">
        <f>IFERROR(INDEX('Student Data'!$I$3:$I$1002,MATCH(3,'Student Data'!$M$3:$M$1002,0)),"")</f>
        <v>PASS</v>
      </c>
    </row>
    <row r="93" spans="2:5" x14ac:dyDescent="0.35">
      <c r="B93" s="7" t="str">
        <f>IFERROR(INDEX('Student Data'!$A$3:$A$1002,MATCH(4,'Student Data'!$M$3:$M$1002,0)),"")</f>
        <v>STU0259</v>
      </c>
      <c r="C93" s="7" t="str">
        <f>IFERROR(INDEX('Student Data'!$B$3:$B$1002,MATCH(4,'Student Data'!$M$3:$M$1002,0)),"")</f>
        <v>Manisha Menon</v>
      </c>
      <c r="D93" s="7">
        <f>IFERROR(INDEX('Student Data'!$H$3:$H$1002,MATCH(4,'Student Data'!$M$3:$M$1002,0)),"")</f>
        <v>100</v>
      </c>
      <c r="E93" s="7" t="str">
        <f>IFERROR(INDEX('Student Data'!$I$3:$I$1002,MATCH(4,'Student Data'!$M$3:$M$1002,0)),"")</f>
        <v>PASS</v>
      </c>
    </row>
    <row r="94" spans="2:5" x14ac:dyDescent="0.35">
      <c r="B94" s="7" t="str">
        <f>IFERROR(INDEX('Student Data'!$A$3:$A$1002,MATCH(5,'Student Data'!$M$3:$M$1002,0)),"")</f>
        <v>STU0353</v>
      </c>
      <c r="C94" s="7" t="str">
        <f>IFERROR(INDEX('Student Data'!$B$3:$B$1002,MATCH(5,'Student Data'!$M$3:$M$1002,0)),"")</f>
        <v>Arjun Ghosh</v>
      </c>
      <c r="D94" s="7">
        <f>IFERROR(INDEX('Student Data'!$H$3:$H$1002,MATCH(5,'Student Data'!$M$3:$M$1002,0)),"")</f>
        <v>100</v>
      </c>
      <c r="E94" s="7" t="str">
        <f>IFERROR(INDEX('Student Data'!$I$3:$I$1002,MATCH(5,'Student Data'!$M$3:$M$1002,0)),"")</f>
        <v>PASS</v>
      </c>
    </row>
    <row r="95" spans="2:5" x14ac:dyDescent="0.35">
      <c r="B95" s="7" t="str">
        <f>IFERROR(INDEX('Student Data'!$A$3:$A$1002,MATCH(6,'Student Data'!$M$3:$M$1002,0)),"")</f>
        <v>STU0366</v>
      </c>
      <c r="C95" s="7" t="str">
        <f>IFERROR(INDEX('Student Data'!$B$3:$B$1002,MATCH(6,'Student Data'!$M$3:$M$1002,0)),"")</f>
        <v>Komal Menon</v>
      </c>
      <c r="D95" s="7">
        <f>IFERROR(INDEX('Student Data'!$H$3:$H$1002,MATCH(6,'Student Data'!$M$3:$M$1002,0)),"")</f>
        <v>100</v>
      </c>
      <c r="E95" s="7" t="str">
        <f>IFERROR(INDEX('Student Data'!$I$3:$I$1002,MATCH(6,'Student Data'!$M$3:$M$1002,0)),"")</f>
        <v>PASS</v>
      </c>
    </row>
    <row r="96" spans="2:5" x14ac:dyDescent="0.35">
      <c r="B96" s="7" t="str">
        <f>IFERROR(INDEX('Student Data'!$A$3:$A$1002,MATCH(7,'Student Data'!$M$3:$M$1002,0)),"")</f>
        <v>STU0409</v>
      </c>
      <c r="C96" s="7" t="str">
        <f>IFERROR(INDEX('Student Data'!$B$3:$B$1002,MATCH(7,'Student Data'!$M$3:$M$1002,0)),"")</f>
        <v>Varun Kulkarni</v>
      </c>
      <c r="D96" s="7">
        <f>IFERROR(INDEX('Student Data'!$H$3:$H$1002,MATCH(7,'Student Data'!$M$3:$M$1002,0)),"")</f>
        <v>100</v>
      </c>
      <c r="E96" s="7" t="str">
        <f>IFERROR(INDEX('Student Data'!$I$3:$I$1002,MATCH(7,'Student Data'!$M$3:$M$1002,0)),"")</f>
        <v>PASS</v>
      </c>
    </row>
    <row r="97" spans="2:5" x14ac:dyDescent="0.35">
      <c r="B97" s="7" t="str">
        <f>IFERROR(INDEX('Student Data'!$A$3:$A$1002,MATCH(8,'Student Data'!$M$3:$M$1002,0)),"")</f>
        <v>STU0420</v>
      </c>
      <c r="C97" s="7" t="str">
        <f>IFERROR(INDEX('Student Data'!$B$3:$B$1002,MATCH(8,'Student Data'!$M$3:$M$1002,0)),"")</f>
        <v>Harsh Chatterjee</v>
      </c>
      <c r="D97" s="7">
        <f>IFERROR(INDEX('Student Data'!$H$3:$H$1002,MATCH(8,'Student Data'!$M$3:$M$1002,0)),"")</f>
        <v>100</v>
      </c>
      <c r="E97" s="7" t="str">
        <f>IFERROR(INDEX('Student Data'!$I$3:$I$1002,MATCH(8,'Student Data'!$M$3:$M$1002,0)),"")</f>
        <v>PASS</v>
      </c>
    </row>
    <row r="98" spans="2:5" x14ac:dyDescent="0.35">
      <c r="B98" s="7" t="str">
        <f>IFERROR(INDEX('Student Data'!$A$3:$A$1002,MATCH(9,'Student Data'!$M$3:$M$1002,0)),"")</f>
        <v>STU0703</v>
      </c>
      <c r="C98" s="7" t="str">
        <f>IFERROR(INDEX('Student Data'!$B$3:$B$1002,MATCH(9,'Student Data'!$M$3:$M$1002,0)),"")</f>
        <v>Meera Shah</v>
      </c>
      <c r="D98" s="7">
        <f>IFERROR(INDEX('Student Data'!$H$3:$H$1002,MATCH(9,'Student Data'!$M$3:$M$1002,0)),"")</f>
        <v>100</v>
      </c>
      <c r="E98" s="7" t="str">
        <f>IFERROR(INDEX('Student Data'!$I$3:$I$1002,MATCH(9,'Student Data'!$M$3:$M$1002,0)),"")</f>
        <v>PASS</v>
      </c>
    </row>
    <row r="99" spans="2:5" x14ac:dyDescent="0.35">
      <c r="B99" s="7" t="str">
        <f>IFERROR(INDEX('Student Data'!$A$3:$A$1002,MATCH(10,'Student Data'!$M$3:$M$1002,0)),"")</f>
        <v>STU0707</v>
      </c>
      <c r="C99" s="7" t="str">
        <f>IFERROR(INDEX('Student Data'!$B$3:$B$1002,MATCH(10,'Student Data'!$M$3:$M$1002,0)),"")</f>
        <v>Gaurav Desai</v>
      </c>
      <c r="D99" s="7">
        <f>IFERROR(INDEX('Student Data'!$H$3:$H$1002,MATCH(10,'Student Data'!$M$3:$M$1002,0)),"")</f>
        <v>100</v>
      </c>
      <c r="E99" s="7" t="str">
        <f>IFERROR(INDEX('Student Data'!$I$3:$I$1002,MATCH(10,'Student Data'!$M$3:$M$1002,0)),"")</f>
        <v>PASS</v>
      </c>
    </row>
    <row r="101" spans="2:5" ht="15.5" x14ac:dyDescent="0.35">
      <c r="B101" s="11" t="s">
        <v>1874</v>
      </c>
      <c r="C101" s="11"/>
      <c r="D101" s="11"/>
      <c r="E101" s="11"/>
    </row>
    <row r="102" spans="2:5" x14ac:dyDescent="0.35">
      <c r="B102" s="6" t="s">
        <v>41</v>
      </c>
      <c r="C102" s="6" t="s">
        <v>42</v>
      </c>
      <c r="D102" s="6" t="s">
        <v>48</v>
      </c>
      <c r="E102" s="6" t="s">
        <v>49</v>
      </c>
    </row>
    <row r="103" spans="2:5" x14ac:dyDescent="0.35">
      <c r="B103" s="7" t="str">
        <f>IFERROR(INDEX('Student Data'!$A$3:$A$1002,MATCH(COUNT('Student Data'!$M$3:$M$1002)-1+1,'Student Data'!$M$3:$M$1002,0)),"")</f>
        <v>STU0650</v>
      </c>
      <c r="C103" s="7" t="str">
        <f>IFERROR(INDEX('Student Data'!$B$3:$B$1002,MATCH(COUNT('Student Data'!$M$3:$M$1002)-1+1,'Student Data'!$M$3:$M$1002,0)),"")</f>
        <v>Suman Rao</v>
      </c>
      <c r="D103" s="7">
        <f>IFERROR(INDEX('Student Data'!$H$3:$H$1002,MATCH(COUNT('Student Data'!$M$3:$M$1002)-1+1,'Student Data'!$M$3:$M$1002,0)),"")</f>
        <v>17</v>
      </c>
      <c r="E103" s="7" t="str">
        <f>IFERROR(INDEX('Student Data'!$I$3:$I$1002,MATCH(COUNT('Student Data'!$M$3:$M$1002)-1+1,'Student Data'!$M$3:$M$1002,0)),"")</f>
        <v>FAIL</v>
      </c>
    </row>
    <row r="104" spans="2:5" x14ac:dyDescent="0.35">
      <c r="B104" s="7" t="str">
        <f>IFERROR(INDEX('Student Data'!$A$3:$A$1002,MATCH(COUNT('Student Data'!$M$3:$M$1002)-2+1,'Student Data'!$M$3:$M$1002,0)),"")</f>
        <v>STU0548</v>
      </c>
      <c r="C104" s="7" t="str">
        <f>IFERROR(INDEX('Student Data'!$B$3:$B$1002,MATCH(COUNT('Student Data'!$M$3:$M$1002)-2+1,'Student Data'!$M$3:$M$1002,0)),"")</f>
        <v>Abhishek Pandey</v>
      </c>
      <c r="D104" s="7">
        <f>IFERROR(INDEX('Student Data'!$H$3:$H$1002,MATCH(COUNT('Student Data'!$M$3:$M$1002)-2+1,'Student Data'!$M$3:$M$1002,0)),"")</f>
        <v>17</v>
      </c>
      <c r="E104" s="7" t="str">
        <f>IFERROR(INDEX('Student Data'!$I$3:$I$1002,MATCH(COUNT('Student Data'!$M$3:$M$1002)-2+1,'Student Data'!$M$3:$M$1002,0)),"")</f>
        <v>FAIL</v>
      </c>
    </row>
    <row r="105" spans="2:5" x14ac:dyDescent="0.35">
      <c r="B105" s="7" t="str">
        <f>IFERROR(INDEX('Student Data'!$A$3:$A$1002,MATCH(COUNT('Student Data'!$M$3:$M$1002)-3+1,'Student Data'!$M$3:$M$1002,0)),"")</f>
        <v>STU0115</v>
      </c>
      <c r="C105" s="7" t="str">
        <f>IFERROR(INDEX('Student Data'!$B$3:$B$1002,MATCH(COUNT('Student Data'!$M$3:$M$1002)-3+1,'Student Data'!$M$3:$M$1002,0)),"")</f>
        <v>Ankit Desai</v>
      </c>
      <c r="D105" s="7">
        <f>IFERROR(INDEX('Student Data'!$H$3:$H$1002,MATCH(COUNT('Student Data'!$M$3:$M$1002)-3+1,'Student Data'!$M$3:$M$1002,0)),"")</f>
        <v>17</v>
      </c>
      <c r="E105" s="7" t="str">
        <f>IFERROR(INDEX('Student Data'!$I$3:$I$1002,MATCH(COUNT('Student Data'!$M$3:$M$1002)-3+1,'Student Data'!$M$3:$M$1002,0)),"")</f>
        <v>FAIL</v>
      </c>
    </row>
    <row r="106" spans="2:5" x14ac:dyDescent="0.35">
      <c r="B106" s="7" t="str">
        <f>IFERROR(INDEX('Student Data'!$A$3:$A$1002,MATCH(COUNT('Student Data'!$M$3:$M$1002)-4+1,'Student Data'!$M$3:$M$1002,0)),"")</f>
        <v>STU0574</v>
      </c>
      <c r="C106" s="7" t="str">
        <f>IFERROR(INDEX('Student Data'!$B$3:$B$1002,MATCH(COUNT('Student Data'!$M$3:$M$1002)-4+1,'Student Data'!$M$3:$M$1002,0)),"")</f>
        <v>Pooja Rao</v>
      </c>
      <c r="D106" s="7">
        <f>IFERROR(INDEX('Student Data'!$H$3:$H$1002,MATCH(COUNT('Student Data'!$M$3:$M$1002)-4+1,'Student Data'!$M$3:$M$1002,0)),"")</f>
        <v>17.8</v>
      </c>
      <c r="E106" s="7" t="str">
        <f>IFERROR(INDEX('Student Data'!$I$3:$I$1002,MATCH(COUNT('Student Data'!$M$3:$M$1002)-4+1,'Student Data'!$M$3:$M$1002,0)),"")</f>
        <v>FAIL</v>
      </c>
    </row>
    <row r="107" spans="2:5" x14ac:dyDescent="0.35">
      <c r="B107" s="7" t="str">
        <f>IFERROR(INDEX('Student Data'!$A$3:$A$1002,MATCH(COUNT('Student Data'!$M$3:$M$1002)-5+1,'Student Data'!$M$3:$M$1002,0)),"")</f>
        <v>STU0995</v>
      </c>
      <c r="C107" s="7" t="str">
        <f>IFERROR(INDEX('Student Data'!$B$3:$B$1002,MATCH(COUNT('Student Data'!$M$3:$M$1002)-5+1,'Student Data'!$M$3:$M$1002,0)),"")</f>
        <v>Nisha Chauhan</v>
      </c>
      <c r="D107" s="7">
        <f>IFERROR(INDEX('Student Data'!$H$3:$H$1002,MATCH(COUNT('Student Data'!$M$3:$M$1002)-5+1,'Student Data'!$M$3:$M$1002,0)),"")</f>
        <v>19.2</v>
      </c>
      <c r="E107" s="7" t="str">
        <f>IFERROR(INDEX('Student Data'!$I$3:$I$1002,MATCH(COUNT('Student Data'!$M$3:$M$1002)-5+1,'Student Data'!$M$3:$M$1002,0)),"")</f>
        <v>FAIL</v>
      </c>
    </row>
    <row r="108" spans="2:5" x14ac:dyDescent="0.35">
      <c r="B108" s="7" t="str">
        <f>IFERROR(INDEX('Student Data'!$A$3:$A$1002,MATCH(COUNT('Student Data'!$M$3:$M$1002)-6+1,'Student Data'!$M$3:$M$1002,0)),"")</f>
        <v>STU0439</v>
      </c>
      <c r="C108" s="7" t="str">
        <f>IFERROR(INDEX('Student Data'!$B$3:$B$1002,MATCH(COUNT('Student Data'!$M$3:$M$1002)-6+1,'Student Data'!$M$3:$M$1002,0)),"")</f>
        <v>Nikhil Dutta</v>
      </c>
      <c r="D108" s="7">
        <f>IFERROR(INDEX('Student Data'!$H$3:$H$1002,MATCH(COUNT('Student Data'!$M$3:$M$1002)-6+1,'Student Data'!$M$3:$M$1002,0)),"")</f>
        <v>19.600000000000001</v>
      </c>
      <c r="E108" s="7" t="str">
        <f>IFERROR(INDEX('Student Data'!$I$3:$I$1002,MATCH(COUNT('Student Data'!$M$3:$M$1002)-6+1,'Student Data'!$M$3:$M$1002,0)),"")</f>
        <v>FAIL</v>
      </c>
    </row>
    <row r="109" spans="2:5" x14ac:dyDescent="0.35">
      <c r="B109" s="7" t="str">
        <f>IFERROR(INDEX('Student Data'!$A$3:$A$1002,MATCH(COUNT('Student Data'!$M$3:$M$1002)-7+1,'Student Data'!$M$3:$M$1002,0)),"")</f>
        <v>STU0899</v>
      </c>
      <c r="C109" s="7" t="str">
        <f>IFERROR(INDEX('Student Data'!$B$3:$B$1002,MATCH(COUNT('Student Data'!$M$3:$M$1002)-7+1,'Student Data'!$M$3:$M$1002,0)),"")</f>
        <v>Mohit Menon</v>
      </c>
      <c r="D109" s="7">
        <f>IFERROR(INDEX('Student Data'!$H$3:$H$1002,MATCH(COUNT('Student Data'!$M$3:$M$1002)-7+1,'Student Data'!$M$3:$M$1002,0)),"")</f>
        <v>19.8</v>
      </c>
      <c r="E109" s="7" t="str">
        <f>IFERROR(INDEX('Student Data'!$I$3:$I$1002,MATCH(COUNT('Student Data'!$M$3:$M$1002)-7+1,'Student Data'!$M$3:$M$1002,0)),"")</f>
        <v>FAIL</v>
      </c>
    </row>
    <row r="110" spans="2:5" x14ac:dyDescent="0.35">
      <c r="B110" s="7" t="str">
        <f>IFERROR(INDEX('Student Data'!$A$3:$A$1002,MATCH(COUNT('Student Data'!$M$3:$M$1002)-8+1,'Student Data'!$M$3:$M$1002,0)),"")</f>
        <v>STU0317</v>
      </c>
      <c r="C110" s="7" t="str">
        <f>IFERROR(INDEX('Student Data'!$B$3:$B$1002,MATCH(COUNT('Student Data'!$M$3:$M$1002)-8+1,'Student Data'!$M$3:$M$1002,0)),"")</f>
        <v>Komal Dutta</v>
      </c>
      <c r="D110" s="7">
        <f>IFERROR(INDEX('Student Data'!$H$3:$H$1002,MATCH(COUNT('Student Data'!$M$3:$M$1002)-8+1,'Student Data'!$M$3:$M$1002,0)),"")</f>
        <v>21</v>
      </c>
      <c r="E110" s="7" t="str">
        <f>IFERROR(INDEX('Student Data'!$I$3:$I$1002,MATCH(COUNT('Student Data'!$M$3:$M$1002)-8+1,'Student Data'!$M$3:$M$1002,0)),"")</f>
        <v>FAIL</v>
      </c>
    </row>
    <row r="111" spans="2:5" x14ac:dyDescent="0.35">
      <c r="B111" s="7" t="str">
        <f>IFERROR(INDEX('Student Data'!$A$3:$A$1002,MATCH(COUNT('Student Data'!$M$3:$M$1002)-9+1,'Student Data'!$M$3:$M$1002,0)),"")</f>
        <v>STU0887</v>
      </c>
      <c r="C111" s="7" t="str">
        <f>IFERROR(INDEX('Student Data'!$B$3:$B$1002,MATCH(COUNT('Student Data'!$M$3:$M$1002)-9+1,'Student Data'!$M$3:$M$1002,0)),"")</f>
        <v>Riya Chandra</v>
      </c>
      <c r="D111" s="7">
        <f>IFERROR(INDEX('Student Data'!$H$3:$H$1002,MATCH(COUNT('Student Data'!$M$3:$M$1002)-9+1,'Student Data'!$M$3:$M$1002,0)),"")</f>
        <v>22.2</v>
      </c>
      <c r="E111" s="7" t="str">
        <f>IFERROR(INDEX('Student Data'!$I$3:$I$1002,MATCH(COUNT('Student Data'!$M$3:$M$1002)-9+1,'Student Data'!$M$3:$M$1002,0)),"")</f>
        <v>FAIL</v>
      </c>
    </row>
    <row r="112" spans="2:5" x14ac:dyDescent="0.35">
      <c r="B112" s="7" t="str">
        <f>IFERROR(INDEX('Student Data'!$A$3:$A$1002,MATCH(COUNT('Student Data'!$M$3:$M$1002)-10+1,'Student Data'!$M$3:$M$1002,0)),"")</f>
        <v>STU0785</v>
      </c>
      <c r="C112" s="7" t="str">
        <f>IFERROR(INDEX('Student Data'!$B$3:$B$1002,MATCH(COUNT('Student Data'!$M$3:$M$1002)-10+1,'Student Data'!$M$3:$M$1002,0)),"")</f>
        <v>Mohit Malhotra</v>
      </c>
      <c r="D112" s="7">
        <f>IFERROR(INDEX('Student Data'!$H$3:$H$1002,MATCH(COUNT('Student Data'!$M$3:$M$1002)-10+1,'Student Data'!$M$3:$M$1002,0)),"")</f>
        <v>22.8</v>
      </c>
      <c r="E112" s="7" t="str">
        <f>IFERROR(INDEX('Student Data'!$I$3:$I$1002,MATCH(COUNT('Student Data'!$M$3:$M$1002)-10+1,'Student Data'!$M$3:$M$1002,0)),"")</f>
        <v>FAIL</v>
      </c>
    </row>
  </sheetData>
  <mergeCells count="15">
    <mergeCell ref="B69:F69"/>
    <mergeCell ref="B74:D74"/>
    <mergeCell ref="B81:E81"/>
    <mergeCell ref="B88:E88"/>
    <mergeCell ref="B101:E101"/>
    <mergeCell ref="B37:E37"/>
    <mergeCell ref="B44:F44"/>
    <mergeCell ref="B49:F49"/>
    <mergeCell ref="B56:D56"/>
    <mergeCell ref="B61:E61"/>
    <mergeCell ref="B5:G5"/>
    <mergeCell ref="B11:G11"/>
    <mergeCell ref="B16:D16"/>
    <mergeCell ref="B23:E23"/>
    <mergeCell ref="B30:E3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B2:K211"/>
  <sheetViews>
    <sheetView tabSelected="1" topLeftCell="A2" zoomScaleNormal="100" workbookViewId="0">
      <selection activeCell="O139" sqref="O139"/>
    </sheetView>
  </sheetViews>
  <sheetFormatPr defaultColWidth="8.6328125" defaultRowHeight="14.5" x14ac:dyDescent="0.35"/>
  <cols>
    <col min="1" max="1" width="2" customWidth="1"/>
    <col min="2" max="15" width="12" customWidth="1"/>
  </cols>
  <sheetData>
    <row r="2" spans="2:11" ht="20" x14ac:dyDescent="0.4">
      <c r="B2" s="3" t="s">
        <v>1875</v>
      </c>
    </row>
    <row r="3" spans="2:11" x14ac:dyDescent="0.35">
      <c r="B3" s="4" t="s">
        <v>1876</v>
      </c>
    </row>
    <row r="5" spans="2:11" x14ac:dyDescent="0.35">
      <c r="B5" s="9" t="s">
        <v>1877</v>
      </c>
      <c r="C5" s="9"/>
      <c r="D5" s="9" t="s">
        <v>1878</v>
      </c>
      <c r="E5" s="9"/>
      <c r="F5" s="9" t="s">
        <v>1879</v>
      </c>
      <c r="G5" s="9"/>
      <c r="H5" s="9" t="s">
        <v>1880</v>
      </c>
      <c r="I5" s="9"/>
      <c r="J5" s="9" t="s">
        <v>1881</v>
      </c>
      <c r="K5" s="9"/>
    </row>
    <row r="6" spans="2:11" ht="23" x14ac:dyDescent="0.5">
      <c r="B6" s="10">
        <f>COUNTA('Student Data'!$A$3:$A$1002)</f>
        <v>1000</v>
      </c>
      <c r="C6" s="10"/>
      <c r="D6" s="10">
        <f>COUNTIF('Student Data'!$I$3:$I$1002,"PASS")</f>
        <v>803</v>
      </c>
      <c r="E6" s="10"/>
      <c r="F6" s="10">
        <f>COUNTIF('Student Data'!$I$3:$I$1002,"FAIL")</f>
        <v>197</v>
      </c>
      <c r="G6" s="10"/>
      <c r="H6" s="10">
        <f>ROUND(AVERAGE('Student Data'!$H$3:$H$1002),1)</f>
        <v>65.7</v>
      </c>
      <c r="I6" s="10"/>
      <c r="J6" s="10" t="str">
        <f>ROUND(COUNTIF('Student Data'!$I$3:$I$1002,"PASS")/COUNTA('Student Data'!$A$3:$A$1002)*100,1)&amp;"%"</f>
        <v>80.3%</v>
      </c>
      <c r="K6" s="10"/>
    </row>
    <row r="8" spans="2:11" x14ac:dyDescent="0.35">
      <c r="B8" s="9" t="s">
        <v>1832</v>
      </c>
      <c r="C8" s="9"/>
      <c r="D8" s="9" t="s">
        <v>1833</v>
      </c>
      <c r="E8" s="9"/>
      <c r="F8" s="9" t="s">
        <v>1834</v>
      </c>
      <c r="G8" s="9"/>
      <c r="H8" s="9" t="s">
        <v>1882</v>
      </c>
      <c r="I8" s="9"/>
      <c r="J8" s="9" t="s">
        <v>1883</v>
      </c>
      <c r="K8" s="9"/>
    </row>
    <row r="9" spans="2:11" ht="23" x14ac:dyDescent="0.5">
      <c r="B9" s="10">
        <f>COUNTIF('Student Data'!$J$3:$J$1002,"High Risk")</f>
        <v>197</v>
      </c>
      <c r="C9" s="10"/>
      <c r="D9" s="10">
        <f>COUNTIF('Student Data'!$J$3:$J$1002,"Medium Risk")</f>
        <v>272</v>
      </c>
      <c r="E9" s="10"/>
      <c r="F9" s="10">
        <f>COUNTIF('Student Data'!$J$3:$J$1002,"Low Risk")</f>
        <v>531</v>
      </c>
      <c r="G9" s="10"/>
      <c r="H9" s="10" t="str">
        <f>Insights!C6</f>
        <v>Correlation</v>
      </c>
      <c r="I9" s="10"/>
      <c r="J9" s="10">
        <f>Insights!C7</f>
        <v>0.89</v>
      </c>
      <c r="K9" s="10"/>
    </row>
    <row r="11" spans="2:11" ht="15.5" x14ac:dyDescent="0.35">
      <c r="B11" s="11" t="s">
        <v>1884</v>
      </c>
      <c r="C11" s="11"/>
      <c r="D11" s="11"/>
      <c r="E11" s="11"/>
      <c r="F11" s="11"/>
      <c r="G11" s="11"/>
      <c r="H11" s="11"/>
      <c r="I11" s="11"/>
      <c r="J11" s="11"/>
      <c r="K11" s="11"/>
    </row>
    <row r="29" spans="2:11" ht="15.5" x14ac:dyDescent="0.35">
      <c r="B29" s="11" t="s">
        <v>1885</v>
      </c>
      <c r="C29" s="11"/>
      <c r="D29" s="11"/>
      <c r="E29" s="11"/>
      <c r="F29" s="11"/>
      <c r="G29" s="11"/>
      <c r="H29" s="11"/>
      <c r="I29" s="11"/>
      <c r="J29" s="11"/>
      <c r="K29" s="11"/>
    </row>
    <row r="47" spans="2:11" ht="15.5" x14ac:dyDescent="0.35">
      <c r="B47" s="11" t="s">
        <v>1886</v>
      </c>
      <c r="C47" s="11"/>
      <c r="D47" s="11"/>
      <c r="E47" s="11"/>
      <c r="F47" s="11"/>
      <c r="G47" s="11"/>
      <c r="H47" s="11"/>
      <c r="I47" s="11"/>
      <c r="J47" s="11"/>
      <c r="K47" s="11"/>
    </row>
    <row r="65" spans="2:11" ht="15.5" x14ac:dyDescent="0.35">
      <c r="B65" s="11" t="s">
        <v>1887</v>
      </c>
      <c r="C65" s="11"/>
      <c r="D65" s="11"/>
      <c r="E65" s="11"/>
      <c r="F65" s="11"/>
      <c r="G65" s="11"/>
      <c r="H65" s="11"/>
      <c r="I65" s="11"/>
      <c r="J65" s="11"/>
      <c r="K65" s="11"/>
    </row>
    <row r="83" spans="2:11" ht="15.5" x14ac:dyDescent="0.35">
      <c r="B83" s="11" t="s">
        <v>1888</v>
      </c>
      <c r="C83" s="11"/>
      <c r="D83" s="11"/>
      <c r="E83" s="11"/>
      <c r="F83" s="11"/>
      <c r="G83" s="11"/>
      <c r="H83" s="11"/>
      <c r="I83" s="11"/>
      <c r="J83" s="11"/>
      <c r="K83" s="11"/>
    </row>
    <row r="101" spans="2:11" ht="15.5" x14ac:dyDescent="0.35">
      <c r="B101" s="11" t="s">
        <v>1889</v>
      </c>
      <c r="C101" s="11"/>
      <c r="D101" s="11"/>
      <c r="E101" s="11"/>
      <c r="F101" s="11"/>
      <c r="G101" s="11"/>
      <c r="H101" s="11"/>
      <c r="I101" s="11"/>
      <c r="J101" s="11"/>
      <c r="K101" s="11"/>
    </row>
    <row r="119" spans="2:11" ht="15.5" x14ac:dyDescent="0.35">
      <c r="B119" s="11" t="s">
        <v>1890</v>
      </c>
      <c r="C119" s="11"/>
      <c r="D119" s="11"/>
      <c r="E119" s="11"/>
      <c r="F119" s="11"/>
      <c r="G119" s="11"/>
      <c r="H119" s="11"/>
      <c r="I119" s="11"/>
      <c r="J119" s="11"/>
      <c r="K119" s="11"/>
    </row>
    <row r="137" spans="2:11" ht="15.5" x14ac:dyDescent="0.35">
      <c r="B137" s="11" t="s">
        <v>1891</v>
      </c>
      <c r="C137" s="11"/>
      <c r="D137" s="11"/>
      <c r="E137" s="11"/>
      <c r="F137" s="11"/>
      <c r="G137" s="11"/>
      <c r="H137" s="11"/>
      <c r="I137" s="11"/>
      <c r="J137" s="11"/>
      <c r="K137" s="11"/>
    </row>
    <row r="155" spans="2:5" ht="15.5" x14ac:dyDescent="0.35">
      <c r="B155" s="11" t="s">
        <v>1892</v>
      </c>
      <c r="C155" s="11"/>
      <c r="D155" s="11"/>
      <c r="E155" s="11"/>
    </row>
    <row r="156" spans="2:5" x14ac:dyDescent="0.35">
      <c r="B156" s="6" t="s">
        <v>41</v>
      </c>
      <c r="C156" s="6" t="s">
        <v>42</v>
      </c>
      <c r="D156" s="6" t="s">
        <v>48</v>
      </c>
      <c r="E156" s="6" t="s">
        <v>49</v>
      </c>
    </row>
    <row r="157" spans="2:5" x14ac:dyDescent="0.35">
      <c r="B157" s="7" t="str">
        <f>IFERROR(INDEX('Student Data'!$A$3:$A$1002,MATCH(1,'Student Data'!$L$3:$L$1002,0)),"")</f>
        <v>STU0008</v>
      </c>
      <c r="C157" s="7" t="str">
        <f>IFERROR(INDEX('Student Data'!$B$3:$B$1002,MATCH(1,'Student Data'!$L$3:$L$1002,0)),"")</f>
        <v>Pooja Rao</v>
      </c>
      <c r="D157" s="7">
        <f>IFERROR(INDEX('Student Data'!$H$3:$H$1002,MATCH(1,'Student Data'!$L$3:$L$1002,0)),"")</f>
        <v>47.7</v>
      </c>
      <c r="E157" s="7" t="str">
        <f>IFERROR(INDEX('Student Data'!$I$3:$I$1002,MATCH(1,'Student Data'!$L$3:$L$1002,0)),"")</f>
        <v>FAIL</v>
      </c>
    </row>
    <row r="158" spans="2:5" x14ac:dyDescent="0.35">
      <c r="B158" s="7" t="str">
        <f>IFERROR(INDEX('Student Data'!$A$3:$A$1002,MATCH(2,'Student Data'!$L$3:$L$1002,0)),"")</f>
        <v>STU0011</v>
      </c>
      <c r="C158" s="7" t="str">
        <f>IFERROR(INDEX('Student Data'!$B$3:$B$1002,MATCH(2,'Student Data'!$L$3:$L$1002,0)),"")</f>
        <v>Priya Gupta</v>
      </c>
      <c r="D158" s="7">
        <f>IFERROR(INDEX('Student Data'!$H$3:$H$1002,MATCH(2,'Student Data'!$L$3:$L$1002,0)),"")</f>
        <v>43.5</v>
      </c>
      <c r="E158" s="7" t="str">
        <f>IFERROR(INDEX('Student Data'!$I$3:$I$1002,MATCH(2,'Student Data'!$L$3:$L$1002,0)),"")</f>
        <v>FAIL</v>
      </c>
    </row>
    <row r="159" spans="2:5" x14ac:dyDescent="0.35">
      <c r="B159" s="7" t="str">
        <f>IFERROR(INDEX('Student Data'!$A$3:$A$1002,MATCH(3,'Student Data'!$L$3:$L$1002,0)),"")</f>
        <v>STU0016</v>
      </c>
      <c r="C159" s="7" t="str">
        <f>IFERROR(INDEX('Student Data'!$B$3:$B$1002,MATCH(3,'Student Data'!$L$3:$L$1002,0)),"")</f>
        <v>Sneha Nair</v>
      </c>
      <c r="D159" s="7">
        <f>IFERROR(INDEX('Student Data'!$H$3:$H$1002,MATCH(3,'Student Data'!$L$3:$L$1002,0)),"")</f>
        <v>27.2</v>
      </c>
      <c r="E159" s="7" t="str">
        <f>IFERROR(INDEX('Student Data'!$I$3:$I$1002,MATCH(3,'Student Data'!$L$3:$L$1002,0)),"")</f>
        <v>FAIL</v>
      </c>
    </row>
    <row r="160" spans="2:5" x14ac:dyDescent="0.35">
      <c r="B160" s="7" t="str">
        <f>IFERROR(INDEX('Student Data'!$A$3:$A$1002,MATCH(4,'Student Data'!$L$3:$L$1002,0)),"")</f>
        <v>STU0017</v>
      </c>
      <c r="C160" s="7" t="str">
        <f>IFERROR(INDEX('Student Data'!$B$3:$B$1002,MATCH(4,'Student Data'!$L$3:$L$1002,0)),"")</f>
        <v>Sanjay Shah</v>
      </c>
      <c r="D160" s="7">
        <f>IFERROR(INDEX('Student Data'!$H$3:$H$1002,MATCH(4,'Student Data'!$L$3:$L$1002,0)),"")</f>
        <v>34.9</v>
      </c>
      <c r="E160" s="7" t="str">
        <f>IFERROR(INDEX('Student Data'!$I$3:$I$1002,MATCH(4,'Student Data'!$L$3:$L$1002,0)),"")</f>
        <v>FAIL</v>
      </c>
    </row>
    <row r="161" spans="2:5" x14ac:dyDescent="0.35">
      <c r="B161" s="7" t="str">
        <f>IFERROR(INDEX('Student Data'!$A$3:$A$1002,MATCH(5,'Student Data'!$L$3:$L$1002,0)),"")</f>
        <v>STU0026</v>
      </c>
      <c r="C161" s="7" t="str">
        <f>IFERROR(INDEX('Student Data'!$B$3:$B$1002,MATCH(5,'Student Data'!$L$3:$L$1002,0)),"")</f>
        <v>Neha Sinha</v>
      </c>
      <c r="D161" s="7">
        <f>IFERROR(INDEX('Student Data'!$H$3:$H$1002,MATCH(5,'Student Data'!$L$3:$L$1002,0)),"")</f>
        <v>42.9</v>
      </c>
      <c r="E161" s="7" t="str">
        <f>IFERROR(INDEX('Student Data'!$I$3:$I$1002,MATCH(5,'Student Data'!$L$3:$L$1002,0)),"")</f>
        <v>FAIL</v>
      </c>
    </row>
    <row r="162" spans="2:5" x14ac:dyDescent="0.35">
      <c r="B162" s="7" t="str">
        <f>IFERROR(INDEX('Student Data'!$A$3:$A$1002,MATCH(6,'Student Data'!$L$3:$L$1002,0)),"")</f>
        <v>STU0035</v>
      </c>
      <c r="C162" s="7" t="str">
        <f>IFERROR(INDEX('Student Data'!$B$3:$B$1002,MATCH(6,'Student Data'!$L$3:$L$1002,0)),"")</f>
        <v>Aditya Dutta</v>
      </c>
      <c r="D162" s="7">
        <f>IFERROR(INDEX('Student Data'!$H$3:$H$1002,MATCH(6,'Student Data'!$L$3:$L$1002,0)),"")</f>
        <v>48.6</v>
      </c>
      <c r="E162" s="7" t="str">
        <f>IFERROR(INDEX('Student Data'!$I$3:$I$1002,MATCH(6,'Student Data'!$L$3:$L$1002,0)),"")</f>
        <v>FAIL</v>
      </c>
    </row>
    <row r="163" spans="2:5" x14ac:dyDescent="0.35">
      <c r="B163" s="7" t="str">
        <f>IFERROR(INDEX('Student Data'!$A$3:$A$1002,MATCH(7,'Student Data'!$L$3:$L$1002,0)),"")</f>
        <v>STU0047</v>
      </c>
      <c r="C163" s="7" t="str">
        <f>IFERROR(INDEX('Student Data'!$B$3:$B$1002,MATCH(7,'Student Data'!$L$3:$L$1002,0)),"")</f>
        <v>Lakshmi Verma</v>
      </c>
      <c r="D163" s="7">
        <f>IFERROR(INDEX('Student Data'!$H$3:$H$1002,MATCH(7,'Student Data'!$L$3:$L$1002,0)),"")</f>
        <v>49.1</v>
      </c>
      <c r="E163" s="7" t="str">
        <f>IFERROR(INDEX('Student Data'!$I$3:$I$1002,MATCH(7,'Student Data'!$L$3:$L$1002,0)),"")</f>
        <v>FAIL</v>
      </c>
    </row>
    <row r="164" spans="2:5" x14ac:dyDescent="0.35">
      <c r="B164" s="7" t="str">
        <f>IFERROR(INDEX('Student Data'!$A$3:$A$1002,MATCH(8,'Student Data'!$L$3:$L$1002,0)),"")</f>
        <v>STU0052</v>
      </c>
      <c r="C164" s="7" t="str">
        <f>IFERROR(INDEX('Student Data'!$B$3:$B$1002,MATCH(8,'Student Data'!$L$3:$L$1002,0)),"")</f>
        <v>Isha Desai</v>
      </c>
      <c r="D164" s="7">
        <f>IFERROR(INDEX('Student Data'!$H$3:$H$1002,MATCH(8,'Student Data'!$L$3:$L$1002,0)),"")</f>
        <v>33.9</v>
      </c>
      <c r="E164" s="7" t="str">
        <f>IFERROR(INDEX('Student Data'!$I$3:$I$1002,MATCH(8,'Student Data'!$L$3:$L$1002,0)),"")</f>
        <v>FAIL</v>
      </c>
    </row>
    <row r="165" spans="2:5" x14ac:dyDescent="0.35">
      <c r="B165" s="7" t="str">
        <f>IFERROR(INDEX('Student Data'!$A$3:$A$1002,MATCH(9,'Student Data'!$L$3:$L$1002,0)),"")</f>
        <v>STU0057</v>
      </c>
      <c r="C165" s="7" t="str">
        <f>IFERROR(INDEX('Student Data'!$B$3:$B$1002,MATCH(9,'Student Data'!$L$3:$L$1002,0)),"")</f>
        <v>Neha Singh</v>
      </c>
      <c r="D165" s="7">
        <f>IFERROR(INDEX('Student Data'!$H$3:$H$1002,MATCH(9,'Student Data'!$L$3:$L$1002,0)),"")</f>
        <v>46.4</v>
      </c>
      <c r="E165" s="7" t="str">
        <f>IFERROR(INDEX('Student Data'!$I$3:$I$1002,MATCH(9,'Student Data'!$L$3:$L$1002,0)),"")</f>
        <v>FAIL</v>
      </c>
    </row>
    <row r="166" spans="2:5" x14ac:dyDescent="0.35">
      <c r="B166" s="7" t="str">
        <f>IFERROR(INDEX('Student Data'!$A$3:$A$1002,MATCH(10,'Student Data'!$L$3:$L$1002,0)),"")</f>
        <v>STU0063</v>
      </c>
      <c r="C166" s="7" t="str">
        <f>IFERROR(INDEX('Student Data'!$B$3:$B$1002,MATCH(10,'Student Data'!$L$3:$L$1002,0)),"")</f>
        <v>Rahul Sharma</v>
      </c>
      <c r="D166" s="7">
        <f>IFERROR(INDEX('Student Data'!$H$3:$H$1002,MATCH(10,'Student Data'!$L$3:$L$1002,0)),"")</f>
        <v>22.9</v>
      </c>
      <c r="E166" s="7" t="str">
        <f>IFERROR(INDEX('Student Data'!$I$3:$I$1002,MATCH(10,'Student Data'!$L$3:$L$1002,0)),"")</f>
        <v>FAIL</v>
      </c>
    </row>
    <row r="167" spans="2:5" x14ac:dyDescent="0.35">
      <c r="B167" s="7" t="str">
        <f>IFERROR(INDEX('Student Data'!$A$3:$A$1002,MATCH(11,'Student Data'!$L$3:$L$1002,0)),"")</f>
        <v>STU0064</v>
      </c>
      <c r="C167" s="7" t="str">
        <f>IFERROR(INDEX('Student Data'!$B$3:$B$1002,MATCH(11,'Student Data'!$L$3:$L$1002,0)),"")</f>
        <v>Anita Menon</v>
      </c>
      <c r="D167" s="7">
        <f>IFERROR(INDEX('Student Data'!$H$3:$H$1002,MATCH(11,'Student Data'!$L$3:$L$1002,0)),"")</f>
        <v>26.7</v>
      </c>
      <c r="E167" s="7" t="str">
        <f>IFERROR(INDEX('Student Data'!$I$3:$I$1002,MATCH(11,'Student Data'!$L$3:$L$1002,0)),"")</f>
        <v>FAIL</v>
      </c>
    </row>
    <row r="168" spans="2:5" x14ac:dyDescent="0.35">
      <c r="B168" s="7" t="str">
        <f>IFERROR(INDEX('Student Data'!$A$3:$A$1002,MATCH(12,'Student Data'!$L$3:$L$1002,0)),"")</f>
        <v>STU0068</v>
      </c>
      <c r="C168" s="7" t="str">
        <f>IFERROR(INDEX('Student Data'!$B$3:$B$1002,MATCH(12,'Student Data'!$L$3:$L$1002,0)),"")</f>
        <v>Swati Pandey</v>
      </c>
      <c r="D168" s="7">
        <f>IFERROR(INDEX('Student Data'!$H$3:$H$1002,MATCH(12,'Student Data'!$L$3:$L$1002,0)),"")</f>
        <v>28.8</v>
      </c>
      <c r="E168" s="7" t="str">
        <f>IFERROR(INDEX('Student Data'!$I$3:$I$1002,MATCH(12,'Student Data'!$L$3:$L$1002,0)),"")</f>
        <v>FAIL</v>
      </c>
    </row>
    <row r="169" spans="2:5" x14ac:dyDescent="0.35">
      <c r="B169" s="7" t="str">
        <f>IFERROR(INDEX('Student Data'!$A$3:$A$1002,MATCH(13,'Student Data'!$L$3:$L$1002,0)),"")</f>
        <v>STU0070</v>
      </c>
      <c r="C169" s="7" t="str">
        <f>IFERROR(INDEX('Student Data'!$B$3:$B$1002,MATCH(13,'Student Data'!$L$3:$L$1002,0)),"")</f>
        <v>Gaurav Mehta</v>
      </c>
      <c r="D169" s="7">
        <f>IFERROR(INDEX('Student Data'!$H$3:$H$1002,MATCH(13,'Student Data'!$L$3:$L$1002,0)),"")</f>
        <v>39.9</v>
      </c>
      <c r="E169" s="7" t="str">
        <f>IFERROR(INDEX('Student Data'!$I$3:$I$1002,MATCH(13,'Student Data'!$L$3:$L$1002,0)),"")</f>
        <v>FAIL</v>
      </c>
    </row>
    <row r="170" spans="2:5" x14ac:dyDescent="0.35">
      <c r="B170" s="7" t="str">
        <f>IFERROR(INDEX('Student Data'!$A$3:$A$1002,MATCH(14,'Student Data'!$L$3:$L$1002,0)),"")</f>
        <v>STU0073</v>
      </c>
      <c r="C170" s="7" t="str">
        <f>IFERROR(INDEX('Student Data'!$B$3:$B$1002,MATCH(14,'Student Data'!$L$3:$L$1002,0)),"")</f>
        <v>Meera Iyer</v>
      </c>
      <c r="D170" s="7">
        <f>IFERROR(INDEX('Student Data'!$H$3:$H$1002,MATCH(14,'Student Data'!$L$3:$L$1002,0)),"")</f>
        <v>47.4</v>
      </c>
      <c r="E170" s="7" t="str">
        <f>IFERROR(INDEX('Student Data'!$I$3:$I$1002,MATCH(14,'Student Data'!$L$3:$L$1002,0)),"")</f>
        <v>FAIL</v>
      </c>
    </row>
    <row r="171" spans="2:5" x14ac:dyDescent="0.35">
      <c r="B171" s="7" t="str">
        <f>IFERROR(INDEX('Student Data'!$A$3:$A$1002,MATCH(15,'Student Data'!$L$3:$L$1002,0)),"")</f>
        <v>STU0078</v>
      </c>
      <c r="C171" s="7" t="str">
        <f>IFERROR(INDEX('Student Data'!$B$3:$B$1002,MATCH(15,'Student Data'!$L$3:$L$1002,0)),"")</f>
        <v>Aarti Chauhan</v>
      </c>
      <c r="D171" s="7">
        <f>IFERROR(INDEX('Student Data'!$H$3:$H$1002,MATCH(15,'Student Data'!$L$3:$L$1002,0)),"")</f>
        <v>40.299999999999997</v>
      </c>
      <c r="E171" s="7" t="str">
        <f>IFERROR(INDEX('Student Data'!$I$3:$I$1002,MATCH(15,'Student Data'!$L$3:$L$1002,0)),"")</f>
        <v>FAIL</v>
      </c>
    </row>
    <row r="172" spans="2:5" x14ac:dyDescent="0.35">
      <c r="B172" s="7" t="str">
        <f>IFERROR(INDEX('Student Data'!$A$3:$A$1002,MATCH(16,'Student Data'!$L$3:$L$1002,0)),"")</f>
        <v>STU0086</v>
      </c>
      <c r="C172" s="7" t="str">
        <f>IFERROR(INDEX('Student Data'!$B$3:$B$1002,MATCH(16,'Student Data'!$L$3:$L$1002,0)),"")</f>
        <v>Shreya Malhotra</v>
      </c>
      <c r="D172" s="7">
        <f>IFERROR(INDEX('Student Data'!$H$3:$H$1002,MATCH(16,'Student Data'!$L$3:$L$1002,0)),"")</f>
        <v>44.6</v>
      </c>
      <c r="E172" s="7" t="str">
        <f>IFERROR(INDEX('Student Data'!$I$3:$I$1002,MATCH(16,'Student Data'!$L$3:$L$1002,0)),"")</f>
        <v>FAIL</v>
      </c>
    </row>
    <row r="173" spans="2:5" x14ac:dyDescent="0.35">
      <c r="B173" s="7" t="str">
        <f>IFERROR(INDEX('Student Data'!$A$3:$A$1002,MATCH(17,'Student Data'!$L$3:$L$1002,0)),"")</f>
        <v>STU0095</v>
      </c>
      <c r="C173" s="7" t="str">
        <f>IFERROR(INDEX('Student Data'!$B$3:$B$1002,MATCH(17,'Student Data'!$L$3:$L$1002,0)),"")</f>
        <v>Manoj Sinha</v>
      </c>
      <c r="D173" s="7">
        <f>IFERROR(INDEX('Student Data'!$H$3:$H$1002,MATCH(17,'Student Data'!$L$3:$L$1002,0)),"")</f>
        <v>36.9</v>
      </c>
      <c r="E173" s="7" t="str">
        <f>IFERROR(INDEX('Student Data'!$I$3:$I$1002,MATCH(17,'Student Data'!$L$3:$L$1002,0)),"")</f>
        <v>FAIL</v>
      </c>
    </row>
    <row r="174" spans="2:5" x14ac:dyDescent="0.35">
      <c r="B174" s="7" t="str">
        <f>IFERROR(INDEX('Student Data'!$A$3:$A$1002,MATCH(18,'Student Data'!$L$3:$L$1002,0)),"")</f>
        <v>STU0100</v>
      </c>
      <c r="C174" s="7" t="str">
        <f>IFERROR(INDEX('Student Data'!$B$3:$B$1002,MATCH(18,'Student Data'!$L$3:$L$1002,0)),"")</f>
        <v>Nikhil Sinha</v>
      </c>
      <c r="D174" s="7">
        <f>IFERROR(INDEX('Student Data'!$H$3:$H$1002,MATCH(18,'Student Data'!$L$3:$L$1002,0)),"")</f>
        <v>38.6</v>
      </c>
      <c r="E174" s="7" t="str">
        <f>IFERROR(INDEX('Student Data'!$I$3:$I$1002,MATCH(18,'Student Data'!$L$3:$L$1002,0)),"")</f>
        <v>FAIL</v>
      </c>
    </row>
    <row r="175" spans="2:5" x14ac:dyDescent="0.35">
      <c r="B175" s="7" t="str">
        <f>IFERROR(INDEX('Student Data'!$A$3:$A$1002,MATCH(19,'Student Data'!$L$3:$L$1002,0)),"")</f>
        <v>STU0102</v>
      </c>
      <c r="C175" s="7" t="str">
        <f>IFERROR(INDEX('Student Data'!$B$3:$B$1002,MATCH(19,'Student Data'!$L$3:$L$1002,0)),"")</f>
        <v>Payal Kumar</v>
      </c>
      <c r="D175" s="7">
        <f>IFERROR(INDEX('Student Data'!$H$3:$H$1002,MATCH(19,'Student Data'!$L$3:$L$1002,0)),"")</f>
        <v>47</v>
      </c>
      <c r="E175" s="7" t="str">
        <f>IFERROR(INDEX('Student Data'!$I$3:$I$1002,MATCH(19,'Student Data'!$L$3:$L$1002,0)),"")</f>
        <v>FAIL</v>
      </c>
    </row>
    <row r="176" spans="2:5" x14ac:dyDescent="0.35">
      <c r="B176" s="7" t="str">
        <f>IFERROR(INDEX('Student Data'!$A$3:$A$1002,MATCH(20,'Student Data'!$L$3:$L$1002,0)),"")</f>
        <v>STU0104</v>
      </c>
      <c r="C176" s="7" t="str">
        <f>IFERROR(INDEX('Student Data'!$B$3:$B$1002,MATCH(20,'Student Data'!$L$3:$L$1002,0)),"")</f>
        <v>Kunal Bansal</v>
      </c>
      <c r="D176" s="7">
        <f>IFERROR(INDEX('Student Data'!$H$3:$H$1002,MATCH(20,'Student Data'!$L$3:$L$1002,0)),"")</f>
        <v>43.5</v>
      </c>
      <c r="E176" s="7" t="str">
        <f>IFERROR(INDEX('Student Data'!$I$3:$I$1002,MATCH(20,'Student Data'!$L$3:$L$1002,0)),"")</f>
        <v>FAIL</v>
      </c>
    </row>
    <row r="177" spans="2:10" x14ac:dyDescent="0.35">
      <c r="B177" s="7" t="str">
        <f>IFERROR(INDEX('Student Data'!$A$3:$A$1002,MATCH(21,'Student Data'!$L$3:$L$1002,0)),"")</f>
        <v>STU0105</v>
      </c>
      <c r="C177" s="7" t="str">
        <f>IFERROR(INDEX('Student Data'!$B$3:$B$1002,MATCH(21,'Student Data'!$L$3:$L$1002,0)),"")</f>
        <v>Suman Reddy</v>
      </c>
      <c r="D177" s="7">
        <f>IFERROR(INDEX('Student Data'!$H$3:$H$1002,MATCH(21,'Student Data'!$L$3:$L$1002,0)),"")</f>
        <v>40.700000000000003</v>
      </c>
      <c r="E177" s="7" t="str">
        <f>IFERROR(INDEX('Student Data'!$I$3:$I$1002,MATCH(21,'Student Data'!$L$3:$L$1002,0)),"")</f>
        <v>FAIL</v>
      </c>
    </row>
    <row r="178" spans="2:10" x14ac:dyDescent="0.35">
      <c r="B178" s="7" t="str">
        <f>IFERROR(INDEX('Student Data'!$A$3:$A$1002,MATCH(22,'Student Data'!$L$3:$L$1002,0)),"")</f>
        <v>STU0115</v>
      </c>
      <c r="C178" s="7" t="str">
        <f>IFERROR(INDEX('Student Data'!$B$3:$B$1002,MATCH(22,'Student Data'!$L$3:$L$1002,0)),"")</f>
        <v>Ankit Desai</v>
      </c>
      <c r="D178" s="7">
        <f>IFERROR(INDEX('Student Data'!$H$3:$H$1002,MATCH(22,'Student Data'!$L$3:$L$1002,0)),"")</f>
        <v>17</v>
      </c>
      <c r="E178" s="7" t="str">
        <f>IFERROR(INDEX('Student Data'!$I$3:$I$1002,MATCH(22,'Student Data'!$L$3:$L$1002,0)),"")</f>
        <v>FAIL</v>
      </c>
    </row>
    <row r="179" spans="2:10" x14ac:dyDescent="0.35">
      <c r="B179" s="7" t="str">
        <f>IFERROR(INDEX('Student Data'!$A$3:$A$1002,MATCH(23,'Student Data'!$L$3:$L$1002,0)),"")</f>
        <v>STU0116</v>
      </c>
      <c r="C179" s="7" t="str">
        <f>IFERROR(INDEX('Student Data'!$B$3:$B$1002,MATCH(23,'Student Data'!$L$3:$L$1002,0)),"")</f>
        <v>Isha Iyer</v>
      </c>
      <c r="D179" s="7">
        <f>IFERROR(INDEX('Student Data'!$H$3:$H$1002,MATCH(23,'Student Data'!$L$3:$L$1002,0)),"")</f>
        <v>46.6</v>
      </c>
      <c r="E179" s="7" t="str">
        <f>IFERROR(INDEX('Student Data'!$I$3:$I$1002,MATCH(23,'Student Data'!$L$3:$L$1002,0)),"")</f>
        <v>FAIL</v>
      </c>
    </row>
    <row r="180" spans="2:10" x14ac:dyDescent="0.35">
      <c r="B180" s="7" t="str">
        <f>IFERROR(INDEX('Student Data'!$A$3:$A$1002,MATCH(24,'Student Data'!$L$3:$L$1002,0)),"")</f>
        <v>STU0119</v>
      </c>
      <c r="C180" s="7" t="str">
        <f>IFERROR(INDEX('Student Data'!$B$3:$B$1002,MATCH(24,'Student Data'!$L$3:$L$1002,0)),"")</f>
        <v>Ritu Sinha</v>
      </c>
      <c r="D180" s="7">
        <f>IFERROR(INDEX('Student Data'!$H$3:$H$1002,MATCH(24,'Student Data'!$L$3:$L$1002,0)),"")</f>
        <v>40.1</v>
      </c>
      <c r="E180" s="7" t="str">
        <f>IFERROR(INDEX('Student Data'!$I$3:$I$1002,MATCH(24,'Student Data'!$L$3:$L$1002,0)),"")</f>
        <v>FAIL</v>
      </c>
    </row>
    <row r="181" spans="2:10" x14ac:dyDescent="0.35">
      <c r="B181" s="7" t="str">
        <f>IFERROR(INDEX('Student Data'!$A$3:$A$1002,MATCH(25,'Student Data'!$L$3:$L$1002,0)),"")</f>
        <v>STU0126</v>
      </c>
      <c r="C181" s="7" t="str">
        <f>IFERROR(INDEX('Student Data'!$B$3:$B$1002,MATCH(25,'Student Data'!$L$3:$L$1002,0)),"")</f>
        <v>Manoj Yadav</v>
      </c>
      <c r="D181" s="7">
        <f>IFERROR(INDEX('Student Data'!$H$3:$H$1002,MATCH(25,'Student Data'!$L$3:$L$1002,0)),"")</f>
        <v>44.6</v>
      </c>
      <c r="E181" s="7" t="str">
        <f>IFERROR(INDEX('Student Data'!$I$3:$I$1002,MATCH(25,'Student Data'!$L$3:$L$1002,0)),"")</f>
        <v>FAIL</v>
      </c>
    </row>
    <row r="182" spans="2:10" x14ac:dyDescent="0.35">
      <c r="B182" s="7" t="str">
        <f>IFERROR(INDEX('Student Data'!$A$3:$A$1002,MATCH(26,'Student Data'!$L$3:$L$1002,0)),"")</f>
        <v>STU0127</v>
      </c>
      <c r="C182" s="7" t="str">
        <f>IFERROR(INDEX('Student Data'!$B$3:$B$1002,MATCH(26,'Student Data'!$L$3:$L$1002,0)),"")</f>
        <v>Simran Malhotra</v>
      </c>
      <c r="D182" s="7">
        <f>IFERROR(INDEX('Student Data'!$H$3:$H$1002,MATCH(26,'Student Data'!$L$3:$L$1002,0)),"")</f>
        <v>43.3</v>
      </c>
      <c r="E182" s="7" t="str">
        <f>IFERROR(INDEX('Student Data'!$I$3:$I$1002,MATCH(26,'Student Data'!$L$3:$L$1002,0)),"")</f>
        <v>FAIL</v>
      </c>
    </row>
    <row r="183" spans="2:10" x14ac:dyDescent="0.35">
      <c r="B183" s="7" t="str">
        <f>IFERROR(INDEX('Student Data'!$A$3:$A$1002,MATCH(27,'Student Data'!$L$3:$L$1002,0)),"")</f>
        <v>STU0137</v>
      </c>
      <c r="C183" s="7" t="str">
        <f>IFERROR(INDEX('Student Data'!$B$3:$B$1002,MATCH(27,'Student Data'!$L$3:$L$1002,0)),"")</f>
        <v>Simran Desai</v>
      </c>
      <c r="D183" s="7">
        <f>IFERROR(INDEX('Student Data'!$H$3:$H$1002,MATCH(27,'Student Data'!$L$3:$L$1002,0)),"")</f>
        <v>37.4</v>
      </c>
      <c r="E183" s="7" t="str">
        <f>IFERROR(INDEX('Student Data'!$I$3:$I$1002,MATCH(27,'Student Data'!$L$3:$L$1002,0)),"")</f>
        <v>FAIL</v>
      </c>
    </row>
    <row r="184" spans="2:10" x14ac:dyDescent="0.35">
      <c r="B184" s="7" t="str">
        <f>IFERROR(INDEX('Student Data'!$A$3:$A$1002,MATCH(28,'Student Data'!$L$3:$L$1002,0)),"")</f>
        <v>STU0140</v>
      </c>
      <c r="C184" s="7" t="str">
        <f>IFERROR(INDEX('Student Data'!$B$3:$B$1002,MATCH(28,'Student Data'!$L$3:$L$1002,0)),"")</f>
        <v>Sneha Sinha</v>
      </c>
      <c r="D184" s="7">
        <f>IFERROR(INDEX('Student Data'!$H$3:$H$1002,MATCH(28,'Student Data'!$L$3:$L$1002,0)),"")</f>
        <v>44.6</v>
      </c>
      <c r="E184" s="7" t="str">
        <f>IFERROR(INDEX('Student Data'!$I$3:$I$1002,MATCH(28,'Student Data'!$L$3:$L$1002,0)),"")</f>
        <v>FAIL</v>
      </c>
    </row>
    <row r="185" spans="2:10" x14ac:dyDescent="0.35">
      <c r="B185" s="7" t="str">
        <f>IFERROR(INDEX('Student Data'!$A$3:$A$1002,MATCH(29,'Student Data'!$L$3:$L$1002,0)),"")</f>
        <v>STU0142</v>
      </c>
      <c r="C185" s="7" t="str">
        <f>IFERROR(INDEX('Student Data'!$B$3:$B$1002,MATCH(29,'Student Data'!$L$3:$L$1002,0)),"")</f>
        <v>Khushi Chauhan</v>
      </c>
      <c r="D185" s="7">
        <f>IFERROR(INDEX('Student Data'!$H$3:$H$1002,MATCH(29,'Student Data'!$L$3:$L$1002,0)),"")</f>
        <v>27.8</v>
      </c>
      <c r="E185" s="7" t="str">
        <f>IFERROR(INDEX('Student Data'!$I$3:$I$1002,MATCH(29,'Student Data'!$L$3:$L$1002,0)),"")</f>
        <v>FAIL</v>
      </c>
    </row>
    <row r="186" spans="2:10" x14ac:dyDescent="0.35">
      <c r="B186" s="7" t="str">
        <f>IFERROR(INDEX('Student Data'!$A$3:$A$1002,MATCH(30,'Student Data'!$L$3:$L$1002,0)),"")</f>
        <v>STU0144</v>
      </c>
      <c r="C186" s="7" t="str">
        <f>IFERROR(INDEX('Student Data'!$B$3:$B$1002,MATCH(30,'Student Data'!$L$3:$L$1002,0)),"")</f>
        <v>Priya Bansal</v>
      </c>
      <c r="D186" s="7">
        <f>IFERROR(INDEX('Student Data'!$H$3:$H$1002,MATCH(30,'Student Data'!$L$3:$L$1002,0)),"")</f>
        <v>36.200000000000003</v>
      </c>
      <c r="E186" s="7" t="str">
        <f>IFERROR(INDEX('Student Data'!$I$3:$I$1002,MATCH(30,'Student Data'!$L$3:$L$1002,0)),"")</f>
        <v>FAIL</v>
      </c>
    </row>
    <row r="187" spans="2:10" x14ac:dyDescent="0.35">
      <c r="B187" s="12" t="s">
        <v>1893</v>
      </c>
      <c r="C187" s="12"/>
      <c r="D187" s="12"/>
      <c r="E187" s="12"/>
      <c r="F187" s="12"/>
      <c r="G187" s="12"/>
      <c r="H187" s="12"/>
    </row>
    <row r="190" spans="2:10" ht="15.5" x14ac:dyDescent="0.35">
      <c r="B190" s="11" t="s">
        <v>1894</v>
      </c>
      <c r="C190" s="11"/>
      <c r="D190" s="11"/>
      <c r="E190" s="11"/>
    </row>
    <row r="191" spans="2:10" x14ac:dyDescent="0.35">
      <c r="B191" s="6" t="s">
        <v>1895</v>
      </c>
      <c r="C191" s="6" t="s">
        <v>42</v>
      </c>
      <c r="D191" s="6" t="s">
        <v>1896</v>
      </c>
      <c r="E191" s="6" t="s">
        <v>1836</v>
      </c>
      <c r="G191" s="6" t="s">
        <v>1897</v>
      </c>
      <c r="H191" s="6" t="s">
        <v>42</v>
      </c>
      <c r="I191" s="6" t="s">
        <v>1896</v>
      </c>
      <c r="J191" s="6" t="s">
        <v>1836</v>
      </c>
    </row>
    <row r="192" spans="2:10" x14ac:dyDescent="0.35">
      <c r="B192" s="7" t="str">
        <f>IFERROR(INDEX('Student Data'!$A$3:$A$1002,MATCH(1,'Student Data'!$M$3:$M$1002,0)),"")</f>
        <v>STU0074</v>
      </c>
      <c r="C192" s="7" t="str">
        <f>IFERROR(INDEX('Student Data'!$B$3:$B$1002,MATCH(1,'Student Data'!$M$3:$M$1002,0)),"")</f>
        <v>Gaurav Chandra</v>
      </c>
      <c r="D192" s="7">
        <f>IFERROR(INDEX('Student Data'!$H$3:$H$1002,MATCH(1,'Student Data'!$M$3:$M$1002,0)),"")</f>
        <v>100</v>
      </c>
      <c r="E192" s="7" t="str">
        <f>IFERROR(INDEX('Student Data'!$I$3:$I$1002,MATCH(1,'Student Data'!$M$3:$M$1002,0)),"")</f>
        <v>PASS</v>
      </c>
      <c r="G192" s="7" t="str">
        <f>IFERROR(INDEX('Student Data'!$A$3:$A$1002,MATCH(COUNT('Student Data'!$M$3:$M$1002)-1+1,'Student Data'!$M$3:$M$1002,0)),"")</f>
        <v>STU0650</v>
      </c>
      <c r="H192" s="7" t="str">
        <f>IFERROR(INDEX('Student Data'!$B$3:$B$1002,MATCH(COUNT('Student Data'!$M$3:$M$1002)-1+1,'Student Data'!$M$3:$M$1002,0)),"")</f>
        <v>Suman Rao</v>
      </c>
      <c r="I192" s="7">
        <f>IFERROR(INDEX('Student Data'!$H$3:$H$1002,MATCH(COUNT('Student Data'!$M$3:$M$1002)-1+1,'Student Data'!$M$3:$M$1002,0)),"")</f>
        <v>17</v>
      </c>
      <c r="J192" s="7" t="str">
        <f>IFERROR(INDEX('Student Data'!$I$3:$I$1002,MATCH(COUNT('Student Data'!$M$3:$M$1002)-1+1,'Student Data'!$M$3:$M$1002,0)),"")</f>
        <v>FAIL</v>
      </c>
    </row>
    <row r="193" spans="2:11" x14ac:dyDescent="0.35">
      <c r="B193" s="7" t="str">
        <f>IFERROR(INDEX('Student Data'!$A$3:$A$1002,MATCH(2,'Student Data'!$M$3:$M$1002,0)),"")</f>
        <v>STU0135</v>
      </c>
      <c r="C193" s="7" t="str">
        <f>IFERROR(INDEX('Student Data'!$B$3:$B$1002,MATCH(2,'Student Data'!$M$3:$M$1002,0)),"")</f>
        <v>Deepika Naidu</v>
      </c>
      <c r="D193" s="7">
        <f>IFERROR(INDEX('Student Data'!$H$3:$H$1002,MATCH(2,'Student Data'!$M$3:$M$1002,0)),"")</f>
        <v>100</v>
      </c>
      <c r="E193" s="7" t="str">
        <f>IFERROR(INDEX('Student Data'!$I$3:$I$1002,MATCH(2,'Student Data'!$M$3:$M$1002,0)),"")</f>
        <v>PASS</v>
      </c>
      <c r="G193" s="7" t="str">
        <f>IFERROR(INDEX('Student Data'!$A$3:$A$1002,MATCH(COUNT('Student Data'!$M$3:$M$1002)-2+1,'Student Data'!$M$3:$M$1002,0)),"")</f>
        <v>STU0548</v>
      </c>
      <c r="H193" s="7" t="str">
        <f>IFERROR(INDEX('Student Data'!$B$3:$B$1002,MATCH(COUNT('Student Data'!$M$3:$M$1002)-2+1,'Student Data'!$M$3:$M$1002,0)),"")</f>
        <v>Abhishek Pandey</v>
      </c>
      <c r="I193" s="7">
        <f>IFERROR(INDEX('Student Data'!$H$3:$H$1002,MATCH(COUNT('Student Data'!$M$3:$M$1002)-2+1,'Student Data'!$M$3:$M$1002,0)),"")</f>
        <v>17</v>
      </c>
      <c r="J193" s="7" t="str">
        <f>IFERROR(INDEX('Student Data'!$I$3:$I$1002,MATCH(COUNT('Student Data'!$M$3:$M$1002)-2+1,'Student Data'!$M$3:$M$1002,0)),"")</f>
        <v>FAIL</v>
      </c>
    </row>
    <row r="194" spans="2:11" x14ac:dyDescent="0.35">
      <c r="B194" s="7" t="str">
        <f>IFERROR(INDEX('Student Data'!$A$3:$A$1002,MATCH(3,'Student Data'!$M$3:$M$1002,0)),"")</f>
        <v>STU0211</v>
      </c>
      <c r="C194" s="7" t="str">
        <f>IFERROR(INDEX('Student Data'!$B$3:$B$1002,MATCH(3,'Student Data'!$M$3:$M$1002,0)),"")</f>
        <v>Anita Singh</v>
      </c>
      <c r="D194" s="7">
        <f>IFERROR(INDEX('Student Data'!$H$3:$H$1002,MATCH(3,'Student Data'!$M$3:$M$1002,0)),"")</f>
        <v>100</v>
      </c>
      <c r="E194" s="7" t="str">
        <f>IFERROR(INDEX('Student Data'!$I$3:$I$1002,MATCH(3,'Student Data'!$M$3:$M$1002,0)),"")</f>
        <v>PASS</v>
      </c>
      <c r="G194" s="7" t="str">
        <f>IFERROR(INDEX('Student Data'!$A$3:$A$1002,MATCH(COUNT('Student Data'!$M$3:$M$1002)-3+1,'Student Data'!$M$3:$M$1002,0)),"")</f>
        <v>STU0115</v>
      </c>
      <c r="H194" s="7" t="str">
        <f>IFERROR(INDEX('Student Data'!$B$3:$B$1002,MATCH(COUNT('Student Data'!$M$3:$M$1002)-3+1,'Student Data'!$M$3:$M$1002,0)),"")</f>
        <v>Ankit Desai</v>
      </c>
      <c r="I194" s="7">
        <f>IFERROR(INDEX('Student Data'!$H$3:$H$1002,MATCH(COUNT('Student Data'!$M$3:$M$1002)-3+1,'Student Data'!$M$3:$M$1002,0)),"")</f>
        <v>17</v>
      </c>
      <c r="J194" s="7" t="str">
        <f>IFERROR(INDEX('Student Data'!$I$3:$I$1002,MATCH(COUNT('Student Data'!$M$3:$M$1002)-3+1,'Student Data'!$M$3:$M$1002,0)),"")</f>
        <v>FAIL</v>
      </c>
    </row>
    <row r="195" spans="2:11" x14ac:dyDescent="0.35">
      <c r="B195" s="7" t="str">
        <f>IFERROR(INDEX('Student Data'!$A$3:$A$1002,MATCH(4,'Student Data'!$M$3:$M$1002,0)),"")</f>
        <v>STU0259</v>
      </c>
      <c r="C195" s="7" t="str">
        <f>IFERROR(INDEX('Student Data'!$B$3:$B$1002,MATCH(4,'Student Data'!$M$3:$M$1002,0)),"")</f>
        <v>Manisha Menon</v>
      </c>
      <c r="D195" s="7">
        <f>IFERROR(INDEX('Student Data'!$H$3:$H$1002,MATCH(4,'Student Data'!$M$3:$M$1002,0)),"")</f>
        <v>100</v>
      </c>
      <c r="E195" s="7" t="str">
        <f>IFERROR(INDEX('Student Data'!$I$3:$I$1002,MATCH(4,'Student Data'!$M$3:$M$1002,0)),"")</f>
        <v>PASS</v>
      </c>
      <c r="G195" s="7" t="str">
        <f>IFERROR(INDEX('Student Data'!$A$3:$A$1002,MATCH(COUNT('Student Data'!$M$3:$M$1002)-4+1,'Student Data'!$M$3:$M$1002,0)),"")</f>
        <v>STU0574</v>
      </c>
      <c r="H195" s="7" t="str">
        <f>IFERROR(INDEX('Student Data'!$B$3:$B$1002,MATCH(COUNT('Student Data'!$M$3:$M$1002)-4+1,'Student Data'!$M$3:$M$1002,0)),"")</f>
        <v>Pooja Rao</v>
      </c>
      <c r="I195" s="7">
        <f>IFERROR(INDEX('Student Data'!$H$3:$H$1002,MATCH(COUNT('Student Data'!$M$3:$M$1002)-4+1,'Student Data'!$M$3:$M$1002,0)),"")</f>
        <v>17.8</v>
      </c>
      <c r="J195" s="7" t="str">
        <f>IFERROR(INDEX('Student Data'!$I$3:$I$1002,MATCH(COUNT('Student Data'!$M$3:$M$1002)-4+1,'Student Data'!$M$3:$M$1002,0)),"")</f>
        <v>FAIL</v>
      </c>
    </row>
    <row r="196" spans="2:11" x14ac:dyDescent="0.35">
      <c r="B196" s="7" t="str">
        <f>IFERROR(INDEX('Student Data'!$A$3:$A$1002,MATCH(5,'Student Data'!$M$3:$M$1002,0)),"")</f>
        <v>STU0353</v>
      </c>
      <c r="C196" s="7" t="str">
        <f>IFERROR(INDEX('Student Data'!$B$3:$B$1002,MATCH(5,'Student Data'!$M$3:$M$1002,0)),"")</f>
        <v>Arjun Ghosh</v>
      </c>
      <c r="D196" s="7">
        <f>IFERROR(INDEX('Student Data'!$H$3:$H$1002,MATCH(5,'Student Data'!$M$3:$M$1002,0)),"")</f>
        <v>100</v>
      </c>
      <c r="E196" s="7" t="str">
        <f>IFERROR(INDEX('Student Data'!$I$3:$I$1002,MATCH(5,'Student Data'!$M$3:$M$1002,0)),"")</f>
        <v>PASS</v>
      </c>
      <c r="G196" s="7" t="str">
        <f>IFERROR(INDEX('Student Data'!$A$3:$A$1002,MATCH(COUNT('Student Data'!$M$3:$M$1002)-5+1,'Student Data'!$M$3:$M$1002,0)),"")</f>
        <v>STU0995</v>
      </c>
      <c r="H196" s="7" t="str">
        <f>IFERROR(INDEX('Student Data'!$B$3:$B$1002,MATCH(COUNT('Student Data'!$M$3:$M$1002)-5+1,'Student Data'!$M$3:$M$1002,0)),"")</f>
        <v>Nisha Chauhan</v>
      </c>
      <c r="I196" s="7">
        <f>IFERROR(INDEX('Student Data'!$H$3:$H$1002,MATCH(COUNT('Student Data'!$M$3:$M$1002)-5+1,'Student Data'!$M$3:$M$1002,0)),"")</f>
        <v>19.2</v>
      </c>
      <c r="J196" s="7" t="str">
        <f>IFERROR(INDEX('Student Data'!$I$3:$I$1002,MATCH(COUNT('Student Data'!$M$3:$M$1002)-5+1,'Student Data'!$M$3:$M$1002,0)),"")</f>
        <v>FAIL</v>
      </c>
    </row>
    <row r="197" spans="2:11" x14ac:dyDescent="0.35">
      <c r="B197" s="7" t="str">
        <f>IFERROR(INDEX('Student Data'!$A$3:$A$1002,MATCH(6,'Student Data'!$M$3:$M$1002,0)),"")</f>
        <v>STU0366</v>
      </c>
      <c r="C197" s="7" t="str">
        <f>IFERROR(INDEX('Student Data'!$B$3:$B$1002,MATCH(6,'Student Data'!$M$3:$M$1002,0)),"")</f>
        <v>Komal Menon</v>
      </c>
      <c r="D197" s="7">
        <f>IFERROR(INDEX('Student Data'!$H$3:$H$1002,MATCH(6,'Student Data'!$M$3:$M$1002,0)),"")</f>
        <v>100</v>
      </c>
      <c r="E197" s="7" t="str">
        <f>IFERROR(INDEX('Student Data'!$I$3:$I$1002,MATCH(6,'Student Data'!$M$3:$M$1002,0)),"")</f>
        <v>PASS</v>
      </c>
      <c r="G197" s="7" t="str">
        <f>IFERROR(INDEX('Student Data'!$A$3:$A$1002,MATCH(COUNT('Student Data'!$M$3:$M$1002)-6+1,'Student Data'!$M$3:$M$1002,0)),"")</f>
        <v>STU0439</v>
      </c>
      <c r="H197" s="7" t="str">
        <f>IFERROR(INDEX('Student Data'!$B$3:$B$1002,MATCH(COUNT('Student Data'!$M$3:$M$1002)-6+1,'Student Data'!$M$3:$M$1002,0)),"")</f>
        <v>Nikhil Dutta</v>
      </c>
      <c r="I197" s="7">
        <f>IFERROR(INDEX('Student Data'!$H$3:$H$1002,MATCH(COUNT('Student Data'!$M$3:$M$1002)-6+1,'Student Data'!$M$3:$M$1002,0)),"")</f>
        <v>19.600000000000001</v>
      </c>
      <c r="J197" s="7" t="str">
        <f>IFERROR(INDEX('Student Data'!$I$3:$I$1002,MATCH(COUNT('Student Data'!$M$3:$M$1002)-6+1,'Student Data'!$M$3:$M$1002,0)),"")</f>
        <v>FAIL</v>
      </c>
    </row>
    <row r="198" spans="2:11" x14ac:dyDescent="0.35">
      <c r="B198" s="7" t="str">
        <f>IFERROR(INDEX('Student Data'!$A$3:$A$1002,MATCH(7,'Student Data'!$M$3:$M$1002,0)),"")</f>
        <v>STU0409</v>
      </c>
      <c r="C198" s="7" t="str">
        <f>IFERROR(INDEX('Student Data'!$B$3:$B$1002,MATCH(7,'Student Data'!$M$3:$M$1002,0)),"")</f>
        <v>Varun Kulkarni</v>
      </c>
      <c r="D198" s="7">
        <f>IFERROR(INDEX('Student Data'!$H$3:$H$1002,MATCH(7,'Student Data'!$M$3:$M$1002,0)),"")</f>
        <v>100</v>
      </c>
      <c r="E198" s="7" t="str">
        <f>IFERROR(INDEX('Student Data'!$I$3:$I$1002,MATCH(7,'Student Data'!$M$3:$M$1002,0)),"")</f>
        <v>PASS</v>
      </c>
      <c r="G198" s="7" t="str">
        <f>IFERROR(INDEX('Student Data'!$A$3:$A$1002,MATCH(COUNT('Student Data'!$M$3:$M$1002)-7+1,'Student Data'!$M$3:$M$1002,0)),"")</f>
        <v>STU0899</v>
      </c>
      <c r="H198" s="7" t="str">
        <f>IFERROR(INDEX('Student Data'!$B$3:$B$1002,MATCH(COUNT('Student Data'!$M$3:$M$1002)-7+1,'Student Data'!$M$3:$M$1002,0)),"")</f>
        <v>Mohit Menon</v>
      </c>
      <c r="I198" s="7">
        <f>IFERROR(INDEX('Student Data'!$H$3:$H$1002,MATCH(COUNT('Student Data'!$M$3:$M$1002)-7+1,'Student Data'!$M$3:$M$1002,0)),"")</f>
        <v>19.8</v>
      </c>
      <c r="J198" s="7" t="str">
        <f>IFERROR(INDEX('Student Data'!$I$3:$I$1002,MATCH(COUNT('Student Data'!$M$3:$M$1002)-7+1,'Student Data'!$M$3:$M$1002,0)),"")</f>
        <v>FAIL</v>
      </c>
    </row>
    <row r="199" spans="2:11" x14ac:dyDescent="0.35">
      <c r="B199" s="7" t="str">
        <f>IFERROR(INDEX('Student Data'!$A$3:$A$1002,MATCH(8,'Student Data'!$M$3:$M$1002,0)),"")</f>
        <v>STU0420</v>
      </c>
      <c r="C199" s="7" t="str">
        <f>IFERROR(INDEX('Student Data'!$B$3:$B$1002,MATCH(8,'Student Data'!$M$3:$M$1002,0)),"")</f>
        <v>Harsh Chatterjee</v>
      </c>
      <c r="D199" s="7">
        <f>IFERROR(INDEX('Student Data'!$H$3:$H$1002,MATCH(8,'Student Data'!$M$3:$M$1002,0)),"")</f>
        <v>100</v>
      </c>
      <c r="E199" s="7" t="str">
        <f>IFERROR(INDEX('Student Data'!$I$3:$I$1002,MATCH(8,'Student Data'!$M$3:$M$1002,0)),"")</f>
        <v>PASS</v>
      </c>
      <c r="G199" s="7" t="str">
        <f>IFERROR(INDEX('Student Data'!$A$3:$A$1002,MATCH(COUNT('Student Data'!$M$3:$M$1002)-8+1,'Student Data'!$M$3:$M$1002,0)),"")</f>
        <v>STU0317</v>
      </c>
      <c r="H199" s="7" t="str">
        <f>IFERROR(INDEX('Student Data'!$B$3:$B$1002,MATCH(COUNT('Student Data'!$M$3:$M$1002)-8+1,'Student Data'!$M$3:$M$1002,0)),"")</f>
        <v>Komal Dutta</v>
      </c>
      <c r="I199" s="7">
        <f>IFERROR(INDEX('Student Data'!$H$3:$H$1002,MATCH(COUNT('Student Data'!$M$3:$M$1002)-8+1,'Student Data'!$M$3:$M$1002,0)),"")</f>
        <v>21</v>
      </c>
      <c r="J199" s="7" t="str">
        <f>IFERROR(INDEX('Student Data'!$I$3:$I$1002,MATCH(COUNT('Student Data'!$M$3:$M$1002)-8+1,'Student Data'!$M$3:$M$1002,0)),"")</f>
        <v>FAIL</v>
      </c>
    </row>
    <row r="200" spans="2:11" x14ac:dyDescent="0.35">
      <c r="B200" s="7" t="str">
        <f>IFERROR(INDEX('Student Data'!$A$3:$A$1002,MATCH(9,'Student Data'!$M$3:$M$1002,0)),"")</f>
        <v>STU0703</v>
      </c>
      <c r="C200" s="7" t="str">
        <f>IFERROR(INDEX('Student Data'!$B$3:$B$1002,MATCH(9,'Student Data'!$M$3:$M$1002,0)),"")</f>
        <v>Meera Shah</v>
      </c>
      <c r="D200" s="7">
        <f>IFERROR(INDEX('Student Data'!$H$3:$H$1002,MATCH(9,'Student Data'!$M$3:$M$1002,0)),"")</f>
        <v>100</v>
      </c>
      <c r="E200" s="7" t="str">
        <f>IFERROR(INDEX('Student Data'!$I$3:$I$1002,MATCH(9,'Student Data'!$M$3:$M$1002,0)),"")</f>
        <v>PASS</v>
      </c>
      <c r="G200" s="7" t="str">
        <f>IFERROR(INDEX('Student Data'!$A$3:$A$1002,MATCH(COUNT('Student Data'!$M$3:$M$1002)-9+1,'Student Data'!$M$3:$M$1002,0)),"")</f>
        <v>STU0887</v>
      </c>
      <c r="H200" s="7" t="str">
        <f>IFERROR(INDEX('Student Data'!$B$3:$B$1002,MATCH(COUNT('Student Data'!$M$3:$M$1002)-9+1,'Student Data'!$M$3:$M$1002,0)),"")</f>
        <v>Riya Chandra</v>
      </c>
      <c r="I200" s="7">
        <f>IFERROR(INDEX('Student Data'!$H$3:$H$1002,MATCH(COUNT('Student Data'!$M$3:$M$1002)-9+1,'Student Data'!$M$3:$M$1002,0)),"")</f>
        <v>22.2</v>
      </c>
      <c r="J200" s="7" t="str">
        <f>IFERROR(INDEX('Student Data'!$I$3:$I$1002,MATCH(COUNT('Student Data'!$M$3:$M$1002)-9+1,'Student Data'!$M$3:$M$1002,0)),"")</f>
        <v>FAIL</v>
      </c>
    </row>
    <row r="201" spans="2:11" x14ac:dyDescent="0.35">
      <c r="B201" s="7" t="str">
        <f>IFERROR(INDEX('Student Data'!$A$3:$A$1002,MATCH(10,'Student Data'!$M$3:$M$1002,0)),"")</f>
        <v>STU0707</v>
      </c>
      <c r="C201" s="7" t="str">
        <f>IFERROR(INDEX('Student Data'!$B$3:$B$1002,MATCH(10,'Student Data'!$M$3:$M$1002,0)),"")</f>
        <v>Gaurav Desai</v>
      </c>
      <c r="D201" s="7">
        <f>IFERROR(INDEX('Student Data'!$H$3:$H$1002,MATCH(10,'Student Data'!$M$3:$M$1002,0)),"")</f>
        <v>100</v>
      </c>
      <c r="E201" s="7" t="str">
        <f>IFERROR(INDEX('Student Data'!$I$3:$I$1002,MATCH(10,'Student Data'!$M$3:$M$1002,0)),"")</f>
        <v>PASS</v>
      </c>
      <c r="G201" s="7" t="str">
        <f>IFERROR(INDEX('Student Data'!$A$3:$A$1002,MATCH(COUNT('Student Data'!$M$3:$M$1002)-10+1,'Student Data'!$M$3:$M$1002,0)),"")</f>
        <v>STU0785</v>
      </c>
      <c r="H201" s="7" t="str">
        <f>IFERROR(INDEX('Student Data'!$B$3:$B$1002,MATCH(COUNT('Student Data'!$M$3:$M$1002)-10+1,'Student Data'!$M$3:$M$1002,0)),"")</f>
        <v>Mohit Malhotra</v>
      </c>
      <c r="I201" s="7">
        <f>IFERROR(INDEX('Student Data'!$H$3:$H$1002,MATCH(COUNT('Student Data'!$M$3:$M$1002)-10+1,'Student Data'!$M$3:$M$1002,0)),"")</f>
        <v>22.8</v>
      </c>
      <c r="J201" s="7" t="str">
        <f>IFERROR(INDEX('Student Data'!$I$3:$I$1002,MATCH(COUNT('Student Data'!$M$3:$M$1002)-10+1,'Student Data'!$M$3:$M$1002,0)),"")</f>
        <v>FAIL</v>
      </c>
    </row>
    <row r="204" spans="2:11" ht="15.5" x14ac:dyDescent="0.35">
      <c r="B204" s="11" t="s">
        <v>1898</v>
      </c>
      <c r="C204" s="11"/>
      <c r="D204" s="11"/>
      <c r="E204" s="11"/>
      <c r="F204" s="11"/>
      <c r="G204" s="11"/>
      <c r="H204" s="11"/>
      <c r="I204" s="11"/>
      <c r="J204" s="11"/>
      <c r="K204" s="11"/>
    </row>
    <row r="205" spans="2:11" x14ac:dyDescent="0.35">
      <c r="B205" s="9" t="s">
        <v>1882</v>
      </c>
      <c r="C205" s="9"/>
      <c r="D205" s="9" t="s">
        <v>1899</v>
      </c>
      <c r="E205" s="9"/>
      <c r="F205" s="9" t="s">
        <v>1900</v>
      </c>
      <c r="G205" s="9"/>
    </row>
    <row r="206" spans="2:11" ht="23" x14ac:dyDescent="0.5">
      <c r="B206" s="10" t="str">
        <f>Insights!C6</f>
        <v>Correlation</v>
      </c>
      <c r="C206" s="10"/>
      <c r="D206" s="10">
        <f>Insights!C7</f>
        <v>0.89</v>
      </c>
      <c r="E206" s="10"/>
      <c r="F206" s="10">
        <f>Insights!C8</f>
        <v>0.91</v>
      </c>
      <c r="G206" s="10"/>
    </row>
    <row r="208" spans="2:11" ht="30" customHeight="1" x14ac:dyDescent="0.35">
      <c r="B208" s="13" t="s">
        <v>1901</v>
      </c>
      <c r="C208" s="13"/>
      <c r="D208" s="13"/>
      <c r="E208" s="13"/>
      <c r="F208" s="13"/>
      <c r="G208" s="13"/>
      <c r="H208" s="13"/>
      <c r="I208" s="13"/>
      <c r="J208" s="13"/>
    </row>
    <row r="209" spans="2:10" ht="30" customHeight="1" x14ac:dyDescent="0.35">
      <c r="B209" s="13" t="s">
        <v>1902</v>
      </c>
      <c r="C209" s="13"/>
      <c r="D209" s="13"/>
      <c r="E209" s="13"/>
      <c r="F209" s="13"/>
      <c r="G209" s="13"/>
      <c r="H209" s="13"/>
      <c r="I209" s="13"/>
      <c r="J209" s="13"/>
    </row>
    <row r="210" spans="2:10" ht="30" customHeight="1" x14ac:dyDescent="0.35">
      <c r="B210" s="13" t="s">
        <v>1903</v>
      </c>
      <c r="C210" s="13"/>
      <c r="D210" s="13"/>
      <c r="E210" s="13"/>
      <c r="F210" s="13"/>
      <c r="G210" s="13"/>
      <c r="H210" s="13"/>
      <c r="I210" s="13"/>
      <c r="J210" s="13"/>
    </row>
    <row r="211" spans="2:10" ht="30" customHeight="1" x14ac:dyDescent="0.35">
      <c r="B211" s="13" t="s">
        <v>1904</v>
      </c>
      <c r="C211" s="13"/>
      <c r="D211" s="13"/>
      <c r="E211" s="13"/>
      <c r="F211" s="13"/>
      <c r="G211" s="13"/>
      <c r="H211" s="13"/>
      <c r="I211" s="13"/>
      <c r="J211" s="13"/>
    </row>
  </sheetData>
  <mergeCells count="42">
    <mergeCell ref="B210:J210"/>
    <mergeCell ref="B211:J211"/>
    <mergeCell ref="B206:C206"/>
    <mergeCell ref="D206:E206"/>
    <mergeCell ref="F206:G206"/>
    <mergeCell ref="B208:J208"/>
    <mergeCell ref="B209:J209"/>
    <mergeCell ref="B190:E190"/>
    <mergeCell ref="B204:K204"/>
    <mergeCell ref="B205:C205"/>
    <mergeCell ref="D205:E205"/>
    <mergeCell ref="F205:G205"/>
    <mergeCell ref="B101:K101"/>
    <mergeCell ref="B119:K119"/>
    <mergeCell ref="B137:K137"/>
    <mergeCell ref="B155:E155"/>
    <mergeCell ref="B187:H187"/>
    <mergeCell ref="B11:K11"/>
    <mergeCell ref="B29:K29"/>
    <mergeCell ref="B47:K47"/>
    <mergeCell ref="B65:K65"/>
    <mergeCell ref="B83:K83"/>
    <mergeCell ref="B9:C9"/>
    <mergeCell ref="D9:E9"/>
    <mergeCell ref="F9:G9"/>
    <mergeCell ref="H9:I9"/>
    <mergeCell ref="J9:K9"/>
    <mergeCell ref="B8:C8"/>
    <mergeCell ref="D8:E8"/>
    <mergeCell ref="F8:G8"/>
    <mergeCell ref="H8:I8"/>
    <mergeCell ref="J8:K8"/>
    <mergeCell ref="B6:C6"/>
    <mergeCell ref="D6:E6"/>
    <mergeCell ref="F6:G6"/>
    <mergeCell ref="H6:I6"/>
    <mergeCell ref="J6:K6"/>
    <mergeCell ref="B5:C5"/>
    <mergeCell ref="D5:E5"/>
    <mergeCell ref="F5:G5"/>
    <mergeCell ref="H5:I5"/>
    <mergeCell ref="J5:K5"/>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B2:G24"/>
  <sheetViews>
    <sheetView topLeftCell="A13" zoomScaleNormal="100" workbookViewId="0"/>
  </sheetViews>
  <sheetFormatPr defaultColWidth="8.6328125" defaultRowHeight="14.5" x14ac:dyDescent="0.35"/>
  <cols>
    <col min="1" max="1" width="2" customWidth="1"/>
    <col min="2" max="2" width="26" customWidth="1"/>
    <col min="3" max="3" width="14" customWidth="1"/>
    <col min="4" max="4" width="60" customWidth="1"/>
    <col min="6" max="7" width="13" hidden="1" customWidth="1"/>
  </cols>
  <sheetData>
    <row r="2" spans="2:7" ht="20" x14ac:dyDescent="0.4">
      <c r="B2" s="3" t="s">
        <v>1905</v>
      </c>
    </row>
    <row r="3" spans="2:7" x14ac:dyDescent="0.35">
      <c r="B3" s="4" t="s">
        <v>1906</v>
      </c>
    </row>
    <row r="5" spans="2:7" ht="15.5" x14ac:dyDescent="0.35">
      <c r="B5" s="11" t="s">
        <v>1907</v>
      </c>
      <c r="C5" s="11"/>
      <c r="D5" s="11"/>
      <c r="F5" s="7" t="s">
        <v>57</v>
      </c>
      <c r="G5" s="7">
        <f>IFERROR(ROUND(AVERAGEIF('Student Data'!$D$3:$D$1002,F5,'Student Data'!$H$3:$H$1002),1),0)</f>
        <v>66.8</v>
      </c>
    </row>
    <row r="6" spans="2:7" x14ac:dyDescent="0.35">
      <c r="B6" s="6" t="s">
        <v>1908</v>
      </c>
      <c r="C6" s="6" t="s">
        <v>1909</v>
      </c>
      <c r="D6" s="6" t="s">
        <v>1910</v>
      </c>
      <c r="F6" s="7" t="s">
        <v>75</v>
      </c>
      <c r="G6" s="7">
        <f>IFERROR(ROUND(AVERAGEIF('Student Data'!$D$3:$D$1002,F6,'Student Data'!$H$3:$H$1002),1),0)</f>
        <v>64.900000000000006</v>
      </c>
    </row>
    <row r="7" spans="2:7" x14ac:dyDescent="0.35">
      <c r="B7" s="7" t="s">
        <v>45</v>
      </c>
      <c r="C7" s="7">
        <f>ROUND(CORREL('Student Data'!$E$3:$E$1002,'Student Data'!$H$3:$H$1002),2)</f>
        <v>0.89</v>
      </c>
      <c r="D7" s="1" t="s">
        <v>1911</v>
      </c>
      <c r="F7" s="7" t="s">
        <v>63</v>
      </c>
      <c r="G7" s="7">
        <f>IFERROR(ROUND(AVERAGEIF('Student Data'!$D$3:$D$1002,F7,'Student Data'!$H$3:$H$1002),1),0)</f>
        <v>66.3</v>
      </c>
    </row>
    <row r="8" spans="2:7" x14ac:dyDescent="0.35">
      <c r="B8" s="7" t="s">
        <v>46</v>
      </c>
      <c r="C8" s="7">
        <f>ROUND(CORREL('Student Data'!$F$3:$F$1002,'Student Data'!$H$3:$H$1002),2)</f>
        <v>0.91</v>
      </c>
      <c r="D8" s="1" t="s">
        <v>1912</v>
      </c>
      <c r="F8" s="7" t="s">
        <v>68</v>
      </c>
      <c r="G8" s="7">
        <f>IFERROR(ROUND(AVERAGEIF('Student Data'!$D$3:$D$1002,F8,'Student Data'!$H$3:$H$1002),1),0)</f>
        <v>64.5</v>
      </c>
    </row>
    <row r="9" spans="2:7" x14ac:dyDescent="0.35">
      <c r="B9" s="7" t="s">
        <v>47</v>
      </c>
      <c r="C9" s="7">
        <f>ROUND(CORREL('Student Data'!$G$3:$G$1002,'Student Data'!$H$3:$H$1002),2)</f>
        <v>0.92</v>
      </c>
      <c r="D9" s="1" t="s">
        <v>1913</v>
      </c>
    </row>
    <row r="11" spans="2:7" ht="15.5" x14ac:dyDescent="0.35">
      <c r="B11" s="11" t="s">
        <v>1914</v>
      </c>
      <c r="C11" s="11"/>
      <c r="D11" s="11"/>
    </row>
    <row r="12" spans="2:7" x14ac:dyDescent="0.35">
      <c r="B12" s="6" t="s">
        <v>1915</v>
      </c>
      <c r="C12" s="6" t="s">
        <v>1916</v>
      </c>
      <c r="D12" s="6" t="s">
        <v>1910</v>
      </c>
    </row>
    <row r="13" spans="2:7" ht="26" x14ac:dyDescent="0.35">
      <c r="B13" s="7" t="s">
        <v>1881</v>
      </c>
      <c r="C13" s="7" t="str">
        <f>ROUND(COUNTIF('Student Data'!$I$3:$I$1002,"PASS")/COUNTA('Student Data'!$A$3:$A$1002)*100,1)&amp;"%"</f>
        <v>80.3%</v>
      </c>
      <c r="D13" s="1" t="s">
        <v>1917</v>
      </c>
    </row>
    <row r="14" spans="2:7" ht="26" x14ac:dyDescent="0.35">
      <c r="B14" s="7" t="s">
        <v>1918</v>
      </c>
      <c r="C14" s="7" t="str">
        <f>ROUND(COUNTIF('Student Data'!$J$3:$J$1002,"High Risk")/COUNTA('Student Data'!$A$3:$A$1002)*100,1)&amp;"%"</f>
        <v>19.7%</v>
      </c>
      <c r="D14" s="1" t="s">
        <v>1919</v>
      </c>
    </row>
    <row r="15" spans="2:7" ht="26" x14ac:dyDescent="0.35">
      <c r="B15" s="7" t="s">
        <v>1920</v>
      </c>
      <c r="C15" s="7">
        <f>ROUND(AVERAGEIF('Student Data'!$I$3:$I$1002,"FAIL",'Student Data'!$E$3:$E$1002),1)</f>
        <v>52</v>
      </c>
      <c r="D15" s="1" t="s">
        <v>1921</v>
      </c>
    </row>
    <row r="16" spans="2:7" x14ac:dyDescent="0.35">
      <c r="B16" s="7" t="s">
        <v>1922</v>
      </c>
      <c r="C16" s="7">
        <f>ROUND(AVERAGEIF('Student Data'!$I$3:$I$1002,"PASS",'Student Data'!$E$3:$E$1002),1)</f>
        <v>79.7</v>
      </c>
      <c r="D16" s="1" t="s">
        <v>1923</v>
      </c>
    </row>
    <row r="17" spans="2:4" x14ac:dyDescent="0.35">
      <c r="B17" s="7" t="s">
        <v>1924</v>
      </c>
      <c r="C17" s="7" t="str">
        <f>INDEX($F$5:$F$8,MATCH(MAX($G$5:$G$8),$G$5:$G$8,0))</f>
        <v>A</v>
      </c>
      <c r="D17" s="1" t="s">
        <v>1925</v>
      </c>
    </row>
    <row r="19" spans="2:4" ht="15.5" x14ac:dyDescent="0.35">
      <c r="B19" s="11" t="s">
        <v>1926</v>
      </c>
      <c r="C19" s="11"/>
      <c r="D19" s="11"/>
    </row>
    <row r="20" spans="2:4" ht="30" customHeight="1" x14ac:dyDescent="0.35">
      <c r="B20" s="13" t="s">
        <v>1927</v>
      </c>
      <c r="C20" s="13"/>
      <c r="D20" s="13"/>
    </row>
    <row r="21" spans="2:4" ht="30" customHeight="1" x14ac:dyDescent="0.35">
      <c r="B21" s="13" t="s">
        <v>1928</v>
      </c>
      <c r="C21" s="13"/>
      <c r="D21" s="13"/>
    </row>
    <row r="22" spans="2:4" ht="30" customHeight="1" x14ac:dyDescent="0.35">
      <c r="B22" s="13" t="s">
        <v>1929</v>
      </c>
      <c r="C22" s="13"/>
      <c r="D22" s="13"/>
    </row>
    <row r="23" spans="2:4" ht="30" customHeight="1" x14ac:dyDescent="0.35">
      <c r="B23" s="13" t="s">
        <v>1930</v>
      </c>
      <c r="C23" s="13"/>
      <c r="D23" s="13"/>
    </row>
    <row r="24" spans="2:4" ht="30" customHeight="1" x14ac:dyDescent="0.35">
      <c r="B24" s="13" t="s">
        <v>1931</v>
      </c>
      <c r="C24" s="13"/>
      <c r="D24" s="13"/>
    </row>
  </sheetData>
  <mergeCells count="8">
    <mergeCell ref="B22:D22"/>
    <mergeCell ref="B23:D23"/>
    <mergeCell ref="B24:D24"/>
    <mergeCell ref="B5:D5"/>
    <mergeCell ref="B11:D11"/>
    <mergeCell ref="B19:D19"/>
    <mergeCell ref="B20:D20"/>
    <mergeCell ref="B21:D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Student Data</vt:lpstr>
      <vt:lpstr>Pivot Summary</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2026-08-12T04:44:04Z</dcterms:created>
  <dcterms:modified xsi:type="dcterms:W3CDTF">2026-08-14T18:14:19Z</dcterms:modified>
  <dc:language>en-US</dc:language>
</cp:coreProperties>
</file>